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en_skoroszyt"/>
  <mc:AlternateContent xmlns:mc="http://schemas.openxmlformats.org/markup-compatibility/2006">
    <mc:Choice Requires="x15">
      <x15ac:absPath xmlns:x15ac="http://schemas.microsoft.com/office/spreadsheetml/2010/11/ac" url="https://uniwersytetslaski-my.sharepoint.com/personal/dominik_jojko_o365_us_edu_pl/Documents/Pulpit/UŚ/Praca Magisterska/10 zdjecia ust/"/>
    </mc:Choice>
  </mc:AlternateContent>
  <xr:revisionPtr revIDLastSave="2059" documentId="8_{F58C1C91-A6F5-4D15-AC74-DD7392A30A2B}" xr6:coauthVersionLast="47" xr6:coauthVersionMax="47" xr10:uidLastSave="{83D3C7DC-8CE0-4D9E-8CDF-6E1074EA7331}"/>
  <bookViews>
    <workbookView xWindow="-98" yWindow="-98" windowWidth="24196" windowHeight="15196" firstSheet="4" activeTab="22" xr2:uid="{00000000-000D-0000-FFFF-FFFF00000000}"/>
  </bookViews>
  <sheets>
    <sheet name="Dane" sheetId="2" r:id="rId1"/>
    <sheet name="01" sheetId="6" r:id="rId2"/>
    <sheet name="02" sheetId="7" r:id="rId3"/>
    <sheet name="03" sheetId="8" r:id="rId4"/>
    <sheet name="04" sheetId="201" r:id="rId5"/>
    <sheet name="05" sheetId="202" r:id="rId6"/>
    <sheet name="06" sheetId="203" r:id="rId7"/>
    <sheet name="07" sheetId="204" r:id="rId8"/>
    <sheet name="08" sheetId="205" r:id="rId9"/>
    <sheet name="09" sheetId="206" r:id="rId10"/>
    <sheet name="10" sheetId="207" r:id="rId11"/>
    <sheet name="11" sheetId="208" r:id="rId12"/>
    <sheet name="12" sheetId="209" r:id="rId13"/>
    <sheet name="13" sheetId="210" r:id="rId14"/>
    <sheet name="14" sheetId="211" r:id="rId15"/>
    <sheet name="15" sheetId="212" r:id="rId16"/>
    <sheet name="16" sheetId="213" r:id="rId17"/>
    <sheet name="17" sheetId="214" r:id="rId18"/>
    <sheet name="18" sheetId="215" r:id="rId19"/>
    <sheet name="19" sheetId="216" r:id="rId20"/>
    <sheet name="20" sheetId="217" r:id="rId21"/>
    <sheet name="21" sheetId="218" r:id="rId22"/>
    <sheet name="22" sheetId="219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219" l="1"/>
  <c r="D27" i="219"/>
  <c r="D26" i="219"/>
  <c r="D25" i="219"/>
  <c r="D24" i="219"/>
  <c r="D23" i="219"/>
  <c r="D22" i="219"/>
  <c r="D21" i="219"/>
  <c r="D20" i="219"/>
  <c r="D19" i="219"/>
  <c r="D18" i="219"/>
  <c r="D17" i="219"/>
  <c r="D16" i="219"/>
  <c r="D15" i="219"/>
  <c r="D14" i="219"/>
  <c r="D13" i="219"/>
  <c r="D12" i="219"/>
  <c r="D11" i="219"/>
  <c r="D10" i="219"/>
  <c r="D9" i="219"/>
  <c r="D28" i="218"/>
  <c r="D27" i="218"/>
  <c r="D26" i="218"/>
  <c r="D25" i="218"/>
  <c r="D24" i="218"/>
  <c r="D23" i="218"/>
  <c r="D22" i="218"/>
  <c r="D21" i="218"/>
  <c r="D20" i="218"/>
  <c r="D19" i="218"/>
  <c r="D18" i="218"/>
  <c r="D17" i="218"/>
  <c r="D16" i="218"/>
  <c r="D15" i="218"/>
  <c r="D14" i="218"/>
  <c r="D13" i="218"/>
  <c r="D12" i="218"/>
  <c r="D11" i="218"/>
  <c r="D10" i="218"/>
  <c r="D9" i="218"/>
  <c r="D28" i="217"/>
  <c r="D27" i="217"/>
  <c r="D26" i="217"/>
  <c r="D25" i="217"/>
  <c r="D24" i="217"/>
  <c r="D23" i="217"/>
  <c r="D22" i="217"/>
  <c r="D21" i="217"/>
  <c r="D20" i="217"/>
  <c r="D19" i="217"/>
  <c r="D18" i="217"/>
  <c r="D17" i="217"/>
  <c r="D16" i="217"/>
  <c r="D15" i="217"/>
  <c r="D14" i="217"/>
  <c r="D13" i="217"/>
  <c r="D12" i="217"/>
  <c r="D11" i="217"/>
  <c r="D10" i="217"/>
  <c r="D9" i="217"/>
  <c r="D28" i="216"/>
  <c r="D27" i="216"/>
  <c r="D26" i="216"/>
  <c r="D25" i="216"/>
  <c r="D24" i="216"/>
  <c r="D23" i="216"/>
  <c r="D22" i="216"/>
  <c r="D21" i="216"/>
  <c r="D20" i="216"/>
  <c r="D19" i="216"/>
  <c r="D18" i="216"/>
  <c r="D17" i="216"/>
  <c r="D16" i="216"/>
  <c r="D15" i="216"/>
  <c r="D14" i="216"/>
  <c r="D13" i="216"/>
  <c r="D12" i="216"/>
  <c r="D11" i="216"/>
  <c r="D10" i="216"/>
  <c r="D9" i="216"/>
  <c r="D28" i="215"/>
  <c r="D27" i="215"/>
  <c r="D26" i="215"/>
  <c r="D25" i="215"/>
  <c r="D24" i="215"/>
  <c r="D23" i="215"/>
  <c r="D22" i="215"/>
  <c r="D21" i="215"/>
  <c r="D20" i="215"/>
  <c r="D19" i="215"/>
  <c r="D18" i="215"/>
  <c r="D17" i="215"/>
  <c r="D16" i="215"/>
  <c r="D15" i="215"/>
  <c r="D14" i="215"/>
  <c r="D13" i="215"/>
  <c r="D12" i="215"/>
  <c r="D11" i="215"/>
  <c r="D10" i="215"/>
  <c r="D9" i="215"/>
  <c r="D28" i="214"/>
  <c r="D27" i="214"/>
  <c r="D26" i="214"/>
  <c r="D25" i="214"/>
  <c r="D24" i="214"/>
  <c r="D23" i="214"/>
  <c r="D22" i="214"/>
  <c r="D21" i="214"/>
  <c r="D20" i="214"/>
  <c r="D19" i="214"/>
  <c r="D18" i="214"/>
  <c r="D17" i="214"/>
  <c r="D16" i="214"/>
  <c r="D15" i="214"/>
  <c r="D14" i="214"/>
  <c r="D13" i="214"/>
  <c r="D12" i="214"/>
  <c r="D11" i="214"/>
  <c r="D10" i="214"/>
  <c r="D9" i="214"/>
  <c r="D28" i="213"/>
  <c r="D27" i="213"/>
  <c r="D26" i="213"/>
  <c r="D25" i="213"/>
  <c r="D24" i="213"/>
  <c r="D23" i="213"/>
  <c r="D22" i="213"/>
  <c r="D21" i="213"/>
  <c r="D20" i="213"/>
  <c r="D19" i="213"/>
  <c r="D18" i="213"/>
  <c r="D17" i="213"/>
  <c r="D16" i="213"/>
  <c r="D15" i="213"/>
  <c r="D14" i="213"/>
  <c r="D13" i="213"/>
  <c r="D12" i="213"/>
  <c r="D11" i="213"/>
  <c r="D10" i="213"/>
  <c r="D9" i="213"/>
  <c r="D28" i="212"/>
  <c r="D27" i="212"/>
  <c r="D26" i="212"/>
  <c r="D25" i="212"/>
  <c r="D24" i="212"/>
  <c r="D23" i="212"/>
  <c r="D22" i="212"/>
  <c r="D21" i="212"/>
  <c r="D20" i="212"/>
  <c r="D19" i="212"/>
  <c r="D18" i="212"/>
  <c r="D17" i="212"/>
  <c r="D16" i="212"/>
  <c r="D15" i="212"/>
  <c r="D14" i="212"/>
  <c r="D13" i="212"/>
  <c r="D12" i="212"/>
  <c r="D11" i="212"/>
  <c r="D10" i="212"/>
  <c r="D9" i="212"/>
  <c r="D28" i="211"/>
  <c r="D27" i="211"/>
  <c r="D26" i="211"/>
  <c r="D25" i="211"/>
  <c r="D24" i="211"/>
  <c r="D23" i="211"/>
  <c r="D22" i="211"/>
  <c r="D21" i="211"/>
  <c r="D20" i="211"/>
  <c r="D19" i="211"/>
  <c r="D18" i="211"/>
  <c r="D17" i="211"/>
  <c r="D16" i="211"/>
  <c r="D15" i="211"/>
  <c r="D14" i="211"/>
  <c r="D13" i="211"/>
  <c r="D12" i="211"/>
  <c r="D11" i="211"/>
  <c r="D10" i="211"/>
  <c r="D9" i="211"/>
  <c r="D28" i="210"/>
  <c r="D27" i="210"/>
  <c r="D26" i="210"/>
  <c r="D25" i="210"/>
  <c r="D24" i="210"/>
  <c r="D23" i="210"/>
  <c r="D22" i="210"/>
  <c r="D21" i="210"/>
  <c r="D20" i="210"/>
  <c r="D19" i="210"/>
  <c r="D18" i="210"/>
  <c r="D17" i="210"/>
  <c r="D16" i="210"/>
  <c r="D15" i="210"/>
  <c r="D14" i="210"/>
  <c r="D13" i="210"/>
  <c r="D12" i="210"/>
  <c r="D11" i="210"/>
  <c r="D10" i="210"/>
  <c r="D9" i="210"/>
  <c r="D28" i="209"/>
  <c r="D27" i="209"/>
  <c r="D26" i="209"/>
  <c r="D25" i="209"/>
  <c r="D24" i="209"/>
  <c r="D23" i="209"/>
  <c r="D22" i="209"/>
  <c r="D21" i="209"/>
  <c r="D20" i="209"/>
  <c r="D19" i="209"/>
  <c r="D18" i="209"/>
  <c r="D17" i="209"/>
  <c r="D16" i="209"/>
  <c r="D15" i="209"/>
  <c r="D14" i="209"/>
  <c r="D13" i="209"/>
  <c r="D12" i="209"/>
  <c r="D11" i="209"/>
  <c r="D10" i="209"/>
  <c r="D9" i="209"/>
  <c r="D28" i="208"/>
  <c r="D27" i="208"/>
  <c r="D26" i="208"/>
  <c r="D25" i="208"/>
  <c r="D24" i="208"/>
  <c r="D23" i="208"/>
  <c r="D22" i="208"/>
  <c r="D21" i="208"/>
  <c r="D20" i="208"/>
  <c r="D19" i="208"/>
  <c r="D18" i="208"/>
  <c r="D17" i="208"/>
  <c r="D16" i="208"/>
  <c r="D15" i="208"/>
  <c r="D14" i="208"/>
  <c r="D13" i="208"/>
  <c r="D12" i="208"/>
  <c r="D11" i="208"/>
  <c r="D10" i="208"/>
  <c r="D9" i="208"/>
  <c r="D28" i="207"/>
  <c r="D27" i="207"/>
  <c r="D26" i="207"/>
  <c r="D25" i="207"/>
  <c r="D24" i="207"/>
  <c r="D23" i="207"/>
  <c r="D22" i="207"/>
  <c r="D21" i="207"/>
  <c r="D20" i="207"/>
  <c r="D19" i="207"/>
  <c r="D18" i="207"/>
  <c r="D17" i="207"/>
  <c r="D16" i="207"/>
  <c r="D15" i="207"/>
  <c r="D14" i="207"/>
  <c r="D13" i="207"/>
  <c r="D12" i="207"/>
  <c r="D11" i="207"/>
  <c r="D10" i="207"/>
  <c r="D9" i="207"/>
  <c r="D28" i="206"/>
  <c r="D27" i="206"/>
  <c r="D26" i="206"/>
  <c r="D25" i="206"/>
  <c r="D24" i="206"/>
  <c r="D23" i="206"/>
  <c r="D22" i="206"/>
  <c r="D21" i="206"/>
  <c r="D20" i="206"/>
  <c r="D19" i="206"/>
  <c r="D18" i="206"/>
  <c r="D17" i="206"/>
  <c r="D16" i="206"/>
  <c r="D15" i="206"/>
  <c r="D14" i="206"/>
  <c r="D13" i="206"/>
  <c r="D12" i="206"/>
  <c r="D11" i="206"/>
  <c r="D10" i="206"/>
  <c r="D9" i="206"/>
  <c r="D28" i="205"/>
  <c r="D27" i="205"/>
  <c r="D26" i="205"/>
  <c r="D25" i="205"/>
  <c r="D24" i="205"/>
  <c r="D23" i="205"/>
  <c r="D22" i="205"/>
  <c r="D21" i="205"/>
  <c r="D20" i="205"/>
  <c r="D19" i="205"/>
  <c r="D18" i="205"/>
  <c r="D17" i="205"/>
  <c r="D16" i="205"/>
  <c r="D15" i="205"/>
  <c r="D14" i="205"/>
  <c r="D13" i="205"/>
  <c r="D12" i="205"/>
  <c r="D11" i="205"/>
  <c r="D10" i="205"/>
  <c r="D9" i="205"/>
  <c r="D28" i="204"/>
  <c r="D27" i="204"/>
  <c r="D26" i="204"/>
  <c r="D25" i="204"/>
  <c r="D24" i="204"/>
  <c r="D23" i="204"/>
  <c r="D22" i="204"/>
  <c r="D21" i="204"/>
  <c r="D20" i="204"/>
  <c r="D19" i="204"/>
  <c r="D18" i="204"/>
  <c r="D17" i="204"/>
  <c r="D16" i="204"/>
  <c r="D15" i="204"/>
  <c r="D14" i="204"/>
  <c r="D13" i="204"/>
  <c r="D12" i="204"/>
  <c r="D11" i="204"/>
  <c r="D10" i="204"/>
  <c r="D9" i="204"/>
  <c r="D28" i="203"/>
  <c r="D27" i="203"/>
  <c r="D26" i="203"/>
  <c r="D25" i="203"/>
  <c r="D24" i="203"/>
  <c r="D23" i="203"/>
  <c r="D22" i="203"/>
  <c r="D21" i="203"/>
  <c r="D20" i="203"/>
  <c r="D19" i="203"/>
  <c r="D18" i="203"/>
  <c r="D17" i="203"/>
  <c r="D16" i="203"/>
  <c r="D15" i="203"/>
  <c r="D14" i="203"/>
  <c r="D13" i="203"/>
  <c r="D12" i="203"/>
  <c r="D11" i="203"/>
  <c r="D10" i="203"/>
  <c r="D9" i="203"/>
  <c r="D28" i="202"/>
  <c r="D27" i="202"/>
  <c r="D26" i="202"/>
  <c r="D25" i="202"/>
  <c r="D24" i="202"/>
  <c r="D23" i="202"/>
  <c r="D22" i="202"/>
  <c r="D21" i="202"/>
  <c r="D20" i="202"/>
  <c r="D19" i="202"/>
  <c r="D18" i="202"/>
  <c r="D17" i="202"/>
  <c r="D16" i="202"/>
  <c r="D15" i="202"/>
  <c r="D14" i="202"/>
  <c r="D13" i="202"/>
  <c r="D12" i="202"/>
  <c r="D11" i="202"/>
  <c r="D10" i="202"/>
  <c r="D9" i="202"/>
  <c r="D28" i="201"/>
  <c r="D27" i="201"/>
  <c r="D26" i="201"/>
  <c r="D25" i="201"/>
  <c r="D24" i="201"/>
  <c r="D23" i="201"/>
  <c r="D22" i="201"/>
  <c r="D21" i="201"/>
  <c r="D20" i="201"/>
  <c r="D19" i="201"/>
  <c r="D18" i="201"/>
  <c r="D17" i="201"/>
  <c r="D16" i="201"/>
  <c r="D15" i="201"/>
  <c r="D14" i="201"/>
  <c r="D13" i="201"/>
  <c r="D12" i="201"/>
  <c r="D11" i="201"/>
  <c r="D10" i="201"/>
  <c r="D9" i="201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9" i="6"/>
  <c r="E28" i="219"/>
  <c r="C28" i="219"/>
  <c r="E27" i="219"/>
  <c r="C27" i="219"/>
  <c r="E26" i="219"/>
  <c r="C26" i="219"/>
  <c r="E25" i="219"/>
  <c r="C25" i="219"/>
  <c r="E24" i="219"/>
  <c r="C24" i="219"/>
  <c r="E23" i="219"/>
  <c r="C23" i="219"/>
  <c r="E22" i="219"/>
  <c r="C22" i="219"/>
  <c r="E21" i="219"/>
  <c r="C21" i="219"/>
  <c r="E20" i="219"/>
  <c r="C20" i="219"/>
  <c r="E19" i="219"/>
  <c r="C19" i="219"/>
  <c r="E18" i="219"/>
  <c r="C18" i="219"/>
  <c r="E17" i="219"/>
  <c r="C17" i="219"/>
  <c r="E16" i="219"/>
  <c r="C16" i="219"/>
  <c r="E15" i="219"/>
  <c r="C15" i="219"/>
  <c r="E14" i="219"/>
  <c r="C14" i="219"/>
  <c r="E13" i="219"/>
  <c r="C13" i="219"/>
  <c r="E12" i="219"/>
  <c r="C12" i="219"/>
  <c r="E11" i="219"/>
  <c r="C11" i="219"/>
  <c r="E10" i="219"/>
  <c r="C10" i="219"/>
  <c r="E9" i="219"/>
  <c r="C9" i="219"/>
  <c r="E28" i="218"/>
  <c r="C28" i="218"/>
  <c r="E27" i="218"/>
  <c r="C27" i="218"/>
  <c r="E26" i="218"/>
  <c r="C26" i="218"/>
  <c r="E25" i="218"/>
  <c r="C25" i="218"/>
  <c r="E24" i="218"/>
  <c r="C24" i="218"/>
  <c r="E23" i="218"/>
  <c r="C23" i="218"/>
  <c r="E22" i="218"/>
  <c r="C22" i="218"/>
  <c r="E21" i="218"/>
  <c r="C21" i="218"/>
  <c r="E20" i="218"/>
  <c r="C20" i="218"/>
  <c r="E19" i="218"/>
  <c r="C19" i="218"/>
  <c r="E18" i="218"/>
  <c r="C18" i="218"/>
  <c r="E17" i="218"/>
  <c r="C17" i="218"/>
  <c r="E16" i="218"/>
  <c r="C16" i="218"/>
  <c r="E15" i="218"/>
  <c r="C15" i="218"/>
  <c r="E14" i="218"/>
  <c r="C14" i="218"/>
  <c r="E13" i="218"/>
  <c r="C13" i="218"/>
  <c r="E12" i="218"/>
  <c r="C12" i="218"/>
  <c r="E11" i="218"/>
  <c r="C11" i="218"/>
  <c r="E10" i="218"/>
  <c r="C10" i="218"/>
  <c r="E9" i="218"/>
  <c r="C9" i="218"/>
  <c r="E28" i="217"/>
  <c r="C28" i="217"/>
  <c r="E27" i="217"/>
  <c r="C27" i="217"/>
  <c r="E26" i="217"/>
  <c r="C26" i="217"/>
  <c r="E25" i="217"/>
  <c r="C25" i="217"/>
  <c r="E24" i="217"/>
  <c r="C24" i="217"/>
  <c r="E23" i="217"/>
  <c r="C23" i="217"/>
  <c r="E22" i="217"/>
  <c r="C22" i="217"/>
  <c r="E21" i="217"/>
  <c r="C21" i="217"/>
  <c r="E20" i="217"/>
  <c r="C20" i="217"/>
  <c r="E19" i="217"/>
  <c r="C19" i="217"/>
  <c r="E18" i="217"/>
  <c r="C18" i="217"/>
  <c r="E17" i="217"/>
  <c r="C17" i="217"/>
  <c r="E16" i="217"/>
  <c r="C16" i="217"/>
  <c r="E15" i="217"/>
  <c r="C15" i="217"/>
  <c r="E14" i="217"/>
  <c r="C14" i="217"/>
  <c r="E13" i="217"/>
  <c r="C13" i="217"/>
  <c r="E12" i="217"/>
  <c r="C12" i="217"/>
  <c r="E11" i="217"/>
  <c r="C11" i="217"/>
  <c r="E10" i="217"/>
  <c r="C10" i="217"/>
  <c r="E9" i="217"/>
  <c r="C9" i="217"/>
  <c r="E28" i="216"/>
  <c r="C28" i="216"/>
  <c r="E27" i="216"/>
  <c r="C27" i="216"/>
  <c r="E26" i="216"/>
  <c r="C26" i="216"/>
  <c r="E25" i="216"/>
  <c r="C25" i="216"/>
  <c r="E24" i="216"/>
  <c r="C24" i="216"/>
  <c r="E23" i="216"/>
  <c r="C23" i="216"/>
  <c r="E22" i="216"/>
  <c r="C22" i="216"/>
  <c r="E21" i="216"/>
  <c r="C21" i="216"/>
  <c r="E20" i="216"/>
  <c r="C20" i="216"/>
  <c r="E19" i="216"/>
  <c r="C19" i="216"/>
  <c r="E18" i="216"/>
  <c r="C18" i="216"/>
  <c r="E17" i="216"/>
  <c r="C17" i="216"/>
  <c r="E16" i="216"/>
  <c r="C16" i="216"/>
  <c r="E15" i="216"/>
  <c r="C15" i="216"/>
  <c r="E14" i="216"/>
  <c r="C14" i="216"/>
  <c r="E13" i="216"/>
  <c r="C13" i="216"/>
  <c r="E12" i="216"/>
  <c r="C12" i="216"/>
  <c r="E11" i="216"/>
  <c r="C11" i="216"/>
  <c r="E10" i="216"/>
  <c r="C10" i="216"/>
  <c r="E9" i="216"/>
  <c r="C9" i="216"/>
  <c r="E28" i="215"/>
  <c r="C28" i="215"/>
  <c r="E27" i="215"/>
  <c r="C27" i="215"/>
  <c r="E26" i="215"/>
  <c r="C26" i="215"/>
  <c r="E25" i="215"/>
  <c r="C25" i="215"/>
  <c r="E24" i="215"/>
  <c r="C24" i="215"/>
  <c r="E23" i="215"/>
  <c r="C23" i="215"/>
  <c r="E22" i="215"/>
  <c r="C22" i="215"/>
  <c r="E21" i="215"/>
  <c r="C21" i="215"/>
  <c r="E20" i="215"/>
  <c r="C20" i="215"/>
  <c r="E19" i="215"/>
  <c r="C19" i="215"/>
  <c r="E18" i="215"/>
  <c r="C18" i="215"/>
  <c r="E17" i="215"/>
  <c r="C17" i="215"/>
  <c r="E16" i="215"/>
  <c r="C16" i="215"/>
  <c r="E15" i="215"/>
  <c r="C15" i="215"/>
  <c r="E14" i="215"/>
  <c r="C14" i="215"/>
  <c r="E13" i="215"/>
  <c r="C13" i="215"/>
  <c r="E12" i="215"/>
  <c r="C12" i="215"/>
  <c r="E11" i="215"/>
  <c r="C11" i="215"/>
  <c r="E10" i="215"/>
  <c r="C10" i="215"/>
  <c r="E9" i="215"/>
  <c r="C9" i="215"/>
  <c r="E28" i="214"/>
  <c r="C28" i="214"/>
  <c r="E27" i="214"/>
  <c r="C27" i="214"/>
  <c r="E26" i="214"/>
  <c r="C26" i="214"/>
  <c r="E25" i="214"/>
  <c r="C25" i="214"/>
  <c r="E24" i="214"/>
  <c r="C24" i="214"/>
  <c r="E23" i="214"/>
  <c r="C23" i="214"/>
  <c r="E22" i="214"/>
  <c r="C22" i="214"/>
  <c r="E21" i="214"/>
  <c r="C21" i="214"/>
  <c r="E20" i="214"/>
  <c r="C20" i="214"/>
  <c r="E19" i="214"/>
  <c r="C19" i="214"/>
  <c r="E18" i="214"/>
  <c r="C18" i="214"/>
  <c r="E17" i="214"/>
  <c r="C17" i="214"/>
  <c r="E16" i="214"/>
  <c r="C16" i="214"/>
  <c r="E15" i="214"/>
  <c r="C15" i="214"/>
  <c r="E14" i="214"/>
  <c r="C14" i="214"/>
  <c r="E13" i="214"/>
  <c r="C13" i="214"/>
  <c r="E12" i="214"/>
  <c r="C12" i="214"/>
  <c r="E11" i="214"/>
  <c r="C11" i="214"/>
  <c r="E10" i="214"/>
  <c r="C10" i="214"/>
  <c r="E9" i="214"/>
  <c r="C9" i="214"/>
  <c r="E28" i="213"/>
  <c r="C28" i="213"/>
  <c r="E27" i="213"/>
  <c r="C27" i="213"/>
  <c r="E26" i="213"/>
  <c r="C26" i="213"/>
  <c r="E25" i="213"/>
  <c r="C25" i="213"/>
  <c r="E24" i="213"/>
  <c r="C24" i="213"/>
  <c r="E23" i="213"/>
  <c r="C23" i="213"/>
  <c r="E22" i="213"/>
  <c r="C22" i="213"/>
  <c r="E21" i="213"/>
  <c r="C21" i="213"/>
  <c r="E20" i="213"/>
  <c r="C20" i="213"/>
  <c r="E19" i="213"/>
  <c r="C19" i="213"/>
  <c r="E18" i="213"/>
  <c r="C18" i="213"/>
  <c r="E17" i="213"/>
  <c r="C17" i="213"/>
  <c r="E16" i="213"/>
  <c r="C16" i="213"/>
  <c r="E15" i="213"/>
  <c r="C15" i="213"/>
  <c r="E14" i="213"/>
  <c r="C14" i="213"/>
  <c r="E13" i="213"/>
  <c r="C13" i="213"/>
  <c r="E12" i="213"/>
  <c r="C12" i="213"/>
  <c r="E11" i="213"/>
  <c r="C11" i="213"/>
  <c r="E10" i="213"/>
  <c r="C10" i="213"/>
  <c r="E9" i="213"/>
  <c r="C9" i="213"/>
  <c r="E28" i="212"/>
  <c r="C28" i="212"/>
  <c r="E27" i="212"/>
  <c r="C27" i="212"/>
  <c r="E26" i="212"/>
  <c r="C26" i="212"/>
  <c r="E25" i="212"/>
  <c r="C25" i="212"/>
  <c r="E24" i="212"/>
  <c r="C24" i="212"/>
  <c r="E23" i="212"/>
  <c r="C23" i="212"/>
  <c r="E22" i="212"/>
  <c r="C22" i="212"/>
  <c r="E21" i="212"/>
  <c r="C21" i="212"/>
  <c r="E20" i="212"/>
  <c r="C20" i="212"/>
  <c r="E19" i="212"/>
  <c r="C19" i="212"/>
  <c r="E18" i="212"/>
  <c r="C18" i="212"/>
  <c r="E17" i="212"/>
  <c r="C17" i="212"/>
  <c r="E16" i="212"/>
  <c r="C16" i="212"/>
  <c r="E15" i="212"/>
  <c r="C15" i="212"/>
  <c r="E14" i="212"/>
  <c r="C14" i="212"/>
  <c r="E13" i="212"/>
  <c r="C13" i="212"/>
  <c r="E12" i="212"/>
  <c r="C12" i="212"/>
  <c r="E11" i="212"/>
  <c r="C11" i="212"/>
  <c r="E10" i="212"/>
  <c r="C10" i="212"/>
  <c r="E9" i="212"/>
  <c r="C9" i="212"/>
  <c r="E28" i="211"/>
  <c r="C28" i="211"/>
  <c r="E27" i="211"/>
  <c r="C27" i="211"/>
  <c r="E26" i="211"/>
  <c r="C26" i="211"/>
  <c r="E25" i="211"/>
  <c r="C25" i="211"/>
  <c r="E24" i="211"/>
  <c r="C24" i="211"/>
  <c r="E23" i="211"/>
  <c r="C23" i="211"/>
  <c r="E22" i="211"/>
  <c r="C22" i="211"/>
  <c r="E21" i="211"/>
  <c r="C21" i="211"/>
  <c r="E20" i="211"/>
  <c r="C20" i="211"/>
  <c r="E19" i="211"/>
  <c r="C19" i="211"/>
  <c r="E18" i="211"/>
  <c r="C18" i="211"/>
  <c r="E17" i="211"/>
  <c r="C17" i="211"/>
  <c r="E16" i="211"/>
  <c r="C16" i="211"/>
  <c r="E15" i="211"/>
  <c r="C15" i="211"/>
  <c r="E14" i="211"/>
  <c r="C14" i="211"/>
  <c r="E13" i="211"/>
  <c r="C13" i="211"/>
  <c r="E12" i="211"/>
  <c r="C12" i="211"/>
  <c r="E11" i="211"/>
  <c r="C11" i="211"/>
  <c r="E10" i="211"/>
  <c r="C10" i="211"/>
  <c r="E9" i="211"/>
  <c r="C9" i="211"/>
  <c r="E28" i="210"/>
  <c r="C28" i="210"/>
  <c r="E27" i="210"/>
  <c r="C27" i="210"/>
  <c r="E26" i="210"/>
  <c r="C26" i="210"/>
  <c r="E25" i="210"/>
  <c r="C25" i="210"/>
  <c r="E24" i="210"/>
  <c r="C24" i="210"/>
  <c r="E23" i="210"/>
  <c r="C23" i="210"/>
  <c r="E22" i="210"/>
  <c r="C22" i="210"/>
  <c r="E21" i="210"/>
  <c r="C21" i="210"/>
  <c r="E20" i="210"/>
  <c r="C20" i="210"/>
  <c r="E19" i="210"/>
  <c r="C19" i="210"/>
  <c r="E18" i="210"/>
  <c r="C18" i="210"/>
  <c r="E17" i="210"/>
  <c r="C17" i="210"/>
  <c r="E16" i="210"/>
  <c r="C16" i="210"/>
  <c r="E15" i="210"/>
  <c r="C15" i="210"/>
  <c r="E14" i="210"/>
  <c r="C14" i="210"/>
  <c r="E13" i="210"/>
  <c r="C13" i="210"/>
  <c r="E12" i="210"/>
  <c r="C12" i="210"/>
  <c r="E11" i="210"/>
  <c r="C11" i="210"/>
  <c r="E10" i="210"/>
  <c r="C10" i="210"/>
  <c r="E9" i="210"/>
  <c r="C9" i="210"/>
  <c r="E28" i="209"/>
  <c r="C28" i="209"/>
  <c r="E27" i="209"/>
  <c r="C27" i="209"/>
  <c r="E26" i="209"/>
  <c r="C26" i="209"/>
  <c r="E25" i="209"/>
  <c r="C25" i="209"/>
  <c r="E24" i="209"/>
  <c r="C24" i="209"/>
  <c r="E23" i="209"/>
  <c r="C23" i="209"/>
  <c r="E22" i="209"/>
  <c r="C22" i="209"/>
  <c r="E21" i="209"/>
  <c r="C21" i="209"/>
  <c r="E20" i="209"/>
  <c r="C20" i="209"/>
  <c r="E19" i="209"/>
  <c r="C19" i="209"/>
  <c r="E18" i="209"/>
  <c r="C18" i="209"/>
  <c r="E17" i="209"/>
  <c r="C17" i="209"/>
  <c r="E16" i="209"/>
  <c r="C16" i="209"/>
  <c r="E15" i="209"/>
  <c r="C15" i="209"/>
  <c r="E14" i="209"/>
  <c r="C14" i="209"/>
  <c r="E13" i="209"/>
  <c r="C13" i="209"/>
  <c r="E12" i="209"/>
  <c r="C12" i="209"/>
  <c r="E11" i="209"/>
  <c r="C11" i="209"/>
  <c r="E10" i="209"/>
  <c r="C10" i="209"/>
  <c r="E9" i="209"/>
  <c r="C9" i="209"/>
  <c r="E28" i="208"/>
  <c r="C28" i="208"/>
  <c r="E27" i="208"/>
  <c r="C27" i="208"/>
  <c r="E26" i="208"/>
  <c r="C26" i="208"/>
  <c r="E25" i="208"/>
  <c r="C25" i="208"/>
  <c r="E24" i="208"/>
  <c r="C24" i="208"/>
  <c r="E23" i="208"/>
  <c r="C23" i="208"/>
  <c r="E22" i="208"/>
  <c r="C22" i="208"/>
  <c r="E21" i="208"/>
  <c r="C21" i="208"/>
  <c r="E20" i="208"/>
  <c r="C20" i="208"/>
  <c r="E19" i="208"/>
  <c r="C19" i="208"/>
  <c r="E18" i="208"/>
  <c r="C18" i="208"/>
  <c r="E17" i="208"/>
  <c r="C17" i="208"/>
  <c r="E16" i="208"/>
  <c r="C16" i="208"/>
  <c r="E15" i="208"/>
  <c r="C15" i="208"/>
  <c r="E14" i="208"/>
  <c r="C14" i="208"/>
  <c r="E13" i="208"/>
  <c r="C13" i="208"/>
  <c r="E12" i="208"/>
  <c r="C12" i="208"/>
  <c r="E11" i="208"/>
  <c r="C11" i="208"/>
  <c r="E10" i="208"/>
  <c r="C10" i="208"/>
  <c r="E9" i="208"/>
  <c r="C9" i="208"/>
  <c r="E28" i="207"/>
  <c r="C28" i="207"/>
  <c r="E27" i="207"/>
  <c r="C27" i="207"/>
  <c r="E26" i="207"/>
  <c r="C26" i="207"/>
  <c r="E25" i="207"/>
  <c r="C25" i="207"/>
  <c r="E24" i="207"/>
  <c r="C24" i="207"/>
  <c r="E23" i="207"/>
  <c r="C23" i="207"/>
  <c r="E22" i="207"/>
  <c r="C22" i="207"/>
  <c r="E21" i="207"/>
  <c r="C21" i="207"/>
  <c r="E20" i="207"/>
  <c r="C20" i="207"/>
  <c r="E19" i="207"/>
  <c r="C19" i="207"/>
  <c r="E18" i="207"/>
  <c r="C18" i="207"/>
  <c r="E17" i="207"/>
  <c r="C17" i="207"/>
  <c r="E16" i="207"/>
  <c r="C16" i="207"/>
  <c r="E15" i="207"/>
  <c r="C15" i="207"/>
  <c r="E14" i="207"/>
  <c r="C14" i="207"/>
  <c r="E13" i="207"/>
  <c r="C13" i="207"/>
  <c r="E12" i="207"/>
  <c r="C12" i="207"/>
  <c r="E11" i="207"/>
  <c r="C11" i="207"/>
  <c r="E10" i="207"/>
  <c r="C10" i="207"/>
  <c r="E9" i="207"/>
  <c r="C9" i="207"/>
  <c r="E28" i="206"/>
  <c r="C28" i="206"/>
  <c r="E27" i="206"/>
  <c r="C27" i="206"/>
  <c r="E26" i="206"/>
  <c r="C26" i="206"/>
  <c r="E25" i="206"/>
  <c r="C25" i="206"/>
  <c r="E24" i="206"/>
  <c r="C24" i="206"/>
  <c r="E23" i="206"/>
  <c r="C23" i="206"/>
  <c r="E22" i="206"/>
  <c r="C22" i="206"/>
  <c r="E21" i="206"/>
  <c r="C21" i="206"/>
  <c r="E20" i="206"/>
  <c r="C20" i="206"/>
  <c r="E19" i="206"/>
  <c r="C19" i="206"/>
  <c r="E18" i="206"/>
  <c r="C18" i="206"/>
  <c r="E17" i="206"/>
  <c r="C17" i="206"/>
  <c r="E16" i="206"/>
  <c r="C16" i="206"/>
  <c r="E15" i="206"/>
  <c r="C15" i="206"/>
  <c r="E14" i="206"/>
  <c r="C14" i="206"/>
  <c r="E13" i="206"/>
  <c r="C13" i="206"/>
  <c r="E12" i="206"/>
  <c r="C12" i="206"/>
  <c r="E11" i="206"/>
  <c r="C11" i="206"/>
  <c r="E10" i="206"/>
  <c r="C10" i="206"/>
  <c r="E9" i="206"/>
  <c r="C9" i="206"/>
  <c r="E28" i="205"/>
  <c r="C28" i="205"/>
  <c r="E27" i="205"/>
  <c r="C27" i="205"/>
  <c r="E26" i="205"/>
  <c r="C26" i="205"/>
  <c r="E25" i="205"/>
  <c r="C25" i="205"/>
  <c r="E24" i="205"/>
  <c r="C24" i="205"/>
  <c r="E23" i="205"/>
  <c r="C23" i="205"/>
  <c r="E22" i="205"/>
  <c r="C22" i="205"/>
  <c r="E21" i="205"/>
  <c r="C21" i="205"/>
  <c r="E20" i="205"/>
  <c r="C20" i="205"/>
  <c r="E19" i="205"/>
  <c r="C19" i="205"/>
  <c r="E18" i="205"/>
  <c r="C18" i="205"/>
  <c r="E17" i="205"/>
  <c r="C17" i="205"/>
  <c r="E16" i="205"/>
  <c r="C16" i="205"/>
  <c r="E15" i="205"/>
  <c r="C15" i="205"/>
  <c r="E14" i="205"/>
  <c r="C14" i="205"/>
  <c r="E13" i="205"/>
  <c r="C13" i="205"/>
  <c r="E12" i="205"/>
  <c r="C12" i="205"/>
  <c r="E11" i="205"/>
  <c r="C11" i="205"/>
  <c r="E10" i="205"/>
  <c r="C10" i="205"/>
  <c r="E9" i="205"/>
  <c r="C9" i="205"/>
  <c r="E28" i="204"/>
  <c r="C28" i="204"/>
  <c r="E27" i="204"/>
  <c r="C27" i="204"/>
  <c r="E26" i="204"/>
  <c r="C26" i="204"/>
  <c r="E25" i="204"/>
  <c r="C25" i="204"/>
  <c r="E24" i="204"/>
  <c r="C24" i="204"/>
  <c r="E23" i="204"/>
  <c r="C23" i="204"/>
  <c r="E22" i="204"/>
  <c r="C22" i="204"/>
  <c r="E21" i="204"/>
  <c r="C21" i="204"/>
  <c r="E20" i="204"/>
  <c r="C20" i="204"/>
  <c r="E19" i="204"/>
  <c r="C19" i="204"/>
  <c r="E18" i="204"/>
  <c r="C18" i="204"/>
  <c r="E17" i="204"/>
  <c r="C17" i="204"/>
  <c r="E16" i="204"/>
  <c r="C16" i="204"/>
  <c r="E15" i="204"/>
  <c r="C15" i="204"/>
  <c r="E14" i="204"/>
  <c r="C14" i="204"/>
  <c r="E13" i="204"/>
  <c r="C13" i="204"/>
  <c r="E12" i="204"/>
  <c r="C12" i="204"/>
  <c r="E11" i="204"/>
  <c r="C11" i="204"/>
  <c r="E10" i="204"/>
  <c r="C10" i="204"/>
  <c r="E9" i="204"/>
  <c r="C9" i="204"/>
  <c r="E28" i="203"/>
  <c r="C28" i="203"/>
  <c r="E27" i="203"/>
  <c r="C27" i="203"/>
  <c r="E26" i="203"/>
  <c r="C26" i="203"/>
  <c r="E25" i="203"/>
  <c r="C25" i="203"/>
  <c r="E24" i="203"/>
  <c r="C24" i="203"/>
  <c r="E23" i="203"/>
  <c r="C23" i="203"/>
  <c r="E22" i="203"/>
  <c r="C22" i="203"/>
  <c r="E21" i="203"/>
  <c r="C21" i="203"/>
  <c r="E20" i="203"/>
  <c r="C20" i="203"/>
  <c r="E19" i="203"/>
  <c r="C19" i="203"/>
  <c r="E18" i="203"/>
  <c r="C18" i="203"/>
  <c r="E17" i="203"/>
  <c r="C17" i="203"/>
  <c r="E16" i="203"/>
  <c r="C16" i="203"/>
  <c r="E15" i="203"/>
  <c r="C15" i="203"/>
  <c r="E14" i="203"/>
  <c r="C14" i="203"/>
  <c r="E13" i="203"/>
  <c r="C13" i="203"/>
  <c r="E12" i="203"/>
  <c r="C12" i="203"/>
  <c r="E11" i="203"/>
  <c r="C11" i="203"/>
  <c r="E10" i="203"/>
  <c r="C10" i="203"/>
  <c r="E9" i="203"/>
  <c r="C9" i="203"/>
  <c r="E28" i="202"/>
  <c r="C28" i="202"/>
  <c r="E27" i="202"/>
  <c r="C27" i="202"/>
  <c r="E26" i="202"/>
  <c r="C26" i="202"/>
  <c r="E25" i="202"/>
  <c r="C25" i="202"/>
  <c r="E24" i="202"/>
  <c r="C24" i="202"/>
  <c r="E23" i="202"/>
  <c r="C23" i="202"/>
  <c r="E22" i="202"/>
  <c r="C22" i="202"/>
  <c r="E21" i="202"/>
  <c r="C21" i="202"/>
  <c r="E20" i="202"/>
  <c r="C20" i="202"/>
  <c r="E19" i="202"/>
  <c r="C19" i="202"/>
  <c r="E18" i="202"/>
  <c r="C18" i="202"/>
  <c r="E17" i="202"/>
  <c r="C17" i="202"/>
  <c r="E16" i="202"/>
  <c r="C16" i="202"/>
  <c r="E15" i="202"/>
  <c r="C15" i="202"/>
  <c r="E14" i="202"/>
  <c r="C14" i="202"/>
  <c r="E13" i="202"/>
  <c r="C13" i="202"/>
  <c r="E12" i="202"/>
  <c r="C12" i="202"/>
  <c r="E11" i="202"/>
  <c r="C11" i="202"/>
  <c r="E10" i="202"/>
  <c r="C10" i="202"/>
  <c r="E9" i="202"/>
  <c r="C9" i="202"/>
  <c r="E28" i="201"/>
  <c r="C28" i="201"/>
  <c r="E27" i="201"/>
  <c r="C27" i="201"/>
  <c r="E26" i="201"/>
  <c r="C26" i="201"/>
  <c r="E25" i="201"/>
  <c r="C25" i="201"/>
  <c r="E23" i="201"/>
  <c r="C23" i="201"/>
  <c r="E22" i="201"/>
  <c r="C22" i="201"/>
  <c r="E21" i="201"/>
  <c r="C21" i="201"/>
  <c r="E20" i="201"/>
  <c r="C20" i="201"/>
  <c r="E19" i="201"/>
  <c r="C19" i="201"/>
  <c r="E18" i="201"/>
  <c r="C18" i="201"/>
  <c r="E17" i="201"/>
  <c r="C17" i="201"/>
  <c r="E16" i="201"/>
  <c r="C16" i="201"/>
  <c r="E15" i="201"/>
  <c r="C15" i="201"/>
  <c r="E14" i="201"/>
  <c r="C14" i="201"/>
  <c r="E13" i="201"/>
  <c r="C13" i="201"/>
  <c r="E12" i="201"/>
  <c r="C12" i="201"/>
  <c r="E11" i="201"/>
  <c r="C11" i="201"/>
  <c r="E10" i="201"/>
  <c r="C10" i="201"/>
  <c r="E9" i="201"/>
  <c r="C9" i="201"/>
  <c r="E28" i="8"/>
  <c r="C28" i="8"/>
  <c r="E27" i="8"/>
  <c r="C27" i="8"/>
  <c r="E26" i="8"/>
  <c r="C26" i="8"/>
  <c r="E25" i="8"/>
  <c r="C25" i="8"/>
  <c r="E24" i="8"/>
  <c r="C24" i="8"/>
  <c r="E23" i="8"/>
  <c r="C23" i="8"/>
  <c r="E22" i="8"/>
  <c r="C22" i="8"/>
  <c r="E21" i="8"/>
  <c r="C21" i="8"/>
  <c r="E20" i="8"/>
  <c r="C20" i="8"/>
  <c r="E19" i="8"/>
  <c r="C19" i="8"/>
  <c r="E18" i="8"/>
  <c r="C18" i="8"/>
  <c r="E17" i="8"/>
  <c r="C17" i="8"/>
  <c r="E16" i="8"/>
  <c r="C16" i="8"/>
  <c r="E15" i="8"/>
  <c r="C15" i="8"/>
  <c r="E14" i="8"/>
  <c r="C14" i="8"/>
  <c r="E13" i="8"/>
  <c r="C13" i="8"/>
  <c r="E12" i="8"/>
  <c r="C12" i="8"/>
  <c r="E11" i="8"/>
  <c r="C11" i="8"/>
  <c r="E10" i="8"/>
  <c r="C10" i="8"/>
  <c r="E9" i="8"/>
  <c r="C9" i="8"/>
  <c r="E28" i="7"/>
  <c r="C28" i="7"/>
  <c r="E27" i="7"/>
  <c r="C27" i="7"/>
  <c r="E26" i="7"/>
  <c r="C26" i="7"/>
  <c r="E25" i="7"/>
  <c r="C25" i="7"/>
  <c r="E24" i="7"/>
  <c r="C24" i="7"/>
  <c r="E23" i="7"/>
  <c r="C23" i="7"/>
  <c r="E22" i="7"/>
  <c r="C22" i="7"/>
  <c r="E21" i="7"/>
  <c r="C21" i="7"/>
  <c r="E20" i="7"/>
  <c r="C20" i="7"/>
  <c r="E19" i="7"/>
  <c r="C19" i="7"/>
  <c r="E18" i="7"/>
  <c r="C18" i="7"/>
  <c r="E17" i="7"/>
  <c r="C17" i="7"/>
  <c r="E16" i="7"/>
  <c r="C16" i="7"/>
  <c r="E15" i="7"/>
  <c r="C15" i="7"/>
  <c r="E14" i="7"/>
  <c r="C14" i="7"/>
  <c r="E13" i="7"/>
  <c r="C13" i="7"/>
  <c r="E12" i="7"/>
  <c r="C12" i="7"/>
  <c r="E11" i="7"/>
  <c r="C11" i="7"/>
  <c r="E10" i="7"/>
  <c r="C10" i="7"/>
  <c r="E9" i="7"/>
  <c r="C9" i="7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9" i="6"/>
  <c r="E23" i="6"/>
  <c r="E24" i="6"/>
  <c r="E25" i="6"/>
  <c r="E26" i="6"/>
  <c r="E27" i="6"/>
  <c r="E2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</calcChain>
</file>

<file path=xl/sharedStrings.xml><?xml version="1.0" encoding="utf-8"?>
<sst xmlns="http://schemas.openxmlformats.org/spreadsheetml/2006/main" count="1196" uniqueCount="449">
  <si>
    <t>age</t>
  </si>
  <si>
    <t>nr</t>
  </si>
  <si>
    <t>gender</t>
  </si>
  <si>
    <t>skin_tone</t>
  </si>
  <si>
    <t>unique_characteristics</t>
  </si>
  <si>
    <t>lipstick</t>
  </si>
  <si>
    <t>escessive_reflections</t>
  </si>
  <si>
    <t>focus</t>
  </si>
  <si>
    <t>exposure</t>
  </si>
  <si>
    <t>flash</t>
  </si>
  <si>
    <t>płeć</t>
  </si>
  <si>
    <t>wiek</t>
  </si>
  <si>
    <t>odcień_skóry</t>
  </si>
  <si>
    <t>unikalne_cechy</t>
  </si>
  <si>
    <t>szminka</t>
  </si>
  <si>
    <t>balsam do ust</t>
  </si>
  <si>
    <t>nadmierne_odbicia</t>
  </si>
  <si>
    <t>ostrość</t>
  </si>
  <si>
    <t>ekspozycja</t>
  </si>
  <si>
    <t>błysk</t>
  </si>
  <si>
    <t>M</t>
  </si>
  <si>
    <t>F</t>
  </si>
  <si>
    <t>Yes</t>
  </si>
  <si>
    <t>No</t>
  </si>
  <si>
    <t>lip_balm</t>
  </si>
  <si>
    <t>ON</t>
  </si>
  <si>
    <t>OFF</t>
  </si>
  <si>
    <t>facial_hair_interference</t>
  </si>
  <si>
    <t>zarost (utrudniający analizę)</t>
  </si>
  <si>
    <t>moles</t>
  </si>
  <si>
    <t>scars</t>
  </si>
  <si>
    <t>piercings</t>
  </si>
  <si>
    <t>tattoo</t>
  </si>
  <si>
    <t>other</t>
  </si>
  <si>
    <t>none</t>
  </si>
  <si>
    <t>znamiona</t>
  </si>
  <si>
    <t>blizny</t>
  </si>
  <si>
    <t>light</t>
  </si>
  <si>
    <t>medium</t>
  </si>
  <si>
    <t>dark</t>
  </si>
  <si>
    <t>Zdjęcia</t>
  </si>
  <si>
    <t>plik</t>
  </si>
  <si>
    <t>file</t>
  </si>
  <si>
    <t>permanent_makeup</t>
  </si>
  <si>
    <t>freckles</t>
  </si>
  <si>
    <t>hyperpigmentation</t>
  </si>
  <si>
    <t>herpes</t>
  </si>
  <si>
    <t>chapped_lips</t>
  </si>
  <si>
    <t>brak</t>
  </si>
  <si>
    <t>kolczyki</t>
  </si>
  <si>
    <t>tatuaż</t>
  </si>
  <si>
    <t>makijaż permamentny</t>
  </si>
  <si>
    <t>piegi</t>
  </si>
  <si>
    <t>przebarwienia</t>
  </si>
  <si>
    <t>opryszczka</t>
  </si>
  <si>
    <t>spierzchnięte</t>
  </si>
  <si>
    <t>skaleczenia</t>
  </si>
  <si>
    <t>injury_cuts</t>
  </si>
  <si>
    <t>siniaki po zabiegach</t>
  </si>
  <si>
    <t>wypełniacze</t>
  </si>
  <si>
    <t>inne</t>
  </si>
  <si>
    <t>aparat</t>
  </si>
  <si>
    <t>braces</t>
  </si>
  <si>
    <t>fillers</t>
  </si>
  <si>
    <t>bruising</t>
  </si>
  <si>
    <t>facial_hair_interference / lipstick / lib_balm / escessive_reflections</t>
  </si>
  <si>
    <t>numer albumu</t>
  </si>
  <si>
    <t>2026-01-06_20-54-12_Nr_01_LampaON_Fokus_1_0_Exp_0_CUT.png</t>
  </si>
  <si>
    <t>2026-01-06_20-54-18_Nr_01_LampaOFF_Fokus_1_0_Exp_0_CUT.png</t>
  </si>
  <si>
    <t>2026-01-06_20-54-25_Nr_01_LampaON_Fokus_1_0_Exp_-4_CUT.png</t>
  </si>
  <si>
    <t>2026-01-06_20-54-29_Nr_01_LampaOFF_Fokus_1_0_Exp_-4_CUT.png</t>
  </si>
  <si>
    <t>2026-01-06_20-54-33_Nr_01_LampaOFF_Fokus_1_0_Exp_-7_CUT.png</t>
  </si>
  <si>
    <t>2026-01-06_20-54-37_Nr_01_LampaON_Fokus_1_0_Exp_-7_CUT.png</t>
  </si>
  <si>
    <t>2026-01-06_20-54-45_Nr_01_LampaOFF_Fokus_1_0_Exp_-12_CUT.png</t>
  </si>
  <si>
    <t>2026-01-06_20-55-11_Nr_01_LampaON_Fokus_1_0_Exp_-1_CUT.png</t>
  </si>
  <si>
    <t>2026-01-06_20-55-25_Nr_01_LampaOFF_Fokus_1_0_Exp_-1_CUT.png</t>
  </si>
  <si>
    <t>2026-01-06_20-55-29_Nr_01_LampaOFF_Fokus_1_0_Exp_-1_CUT.png</t>
  </si>
  <si>
    <t>2026-01-06_20-55-32_Nr_01_LampaON_Fokus_1_0_Exp_-1_CUT.png</t>
  </si>
  <si>
    <t>2026-01-06_20-55-44_Nr_01_LampaON_Fokus_1_0_Exp_-1_CUT.png</t>
  </si>
  <si>
    <t>2026-01-06_20-55-46_Nr_01_LampaOFF_Fokus_1_0_Exp_-1_CUT.png</t>
  </si>
  <si>
    <t>2026-03-05_08-25-34_Nr_2_LampaOFF_Fokus_0_68_Exp_0_CUT.png</t>
  </si>
  <si>
    <t>2026-03-05_08-25-38_Nr_2_LampaON_Fokus_0_68_Exp_0_CUT.png</t>
  </si>
  <si>
    <t>2026-03-05_08-25-57_Nr_2_LampaON_Fokus_0_71_Exp_-3_CUT.png</t>
  </si>
  <si>
    <t>2026-03-05_08-26-01_Nr_2_LampaOFF_Fokus_0_71_Exp_-3_CUT.png</t>
  </si>
  <si>
    <t>2026-03-05_08-26-10_Nr_2_LampaON_Fokus_0_71_Exp_-3_CUT.png</t>
  </si>
  <si>
    <t>2026-03-05_08-26-12_Nr_2_LampaOFF_Fokus_0_71_Exp_-3_CUT.png</t>
  </si>
  <si>
    <t>2026-03-05_08-26-20_Nr_2_LampaON_Fokus_0_71_Exp_-3_CUT.png</t>
  </si>
  <si>
    <t>2026-03-05_08-26-22_Nr_2_LampaON_Fokus_0_71_Exp_0_CUT.png</t>
  </si>
  <si>
    <t>2026-03-05_08-26-27_Nr_2_LampaON_Fokus_0_74_Exp_0_CUT.png</t>
  </si>
  <si>
    <t>2026-03-05_08-26-30_Nr_2_LampaOFF_Fokus_0_74_Exp_0_CUT.png</t>
  </si>
  <si>
    <t>2026-03-05_08-26-41_Nr_2_LampaON_Fokus_0_78_Exp_-4_CUT.png</t>
  </si>
  <si>
    <t>2026-03-05_08-26-44_Nr_2_LampaOFF_Fokus_0_78_Exp_-4_CUT.png</t>
  </si>
  <si>
    <t>2026-03-05_08-26-52_Nr_2_LampaOFF_Fokus_0_77_Exp_6_CUT.png</t>
  </si>
  <si>
    <t>2026-03-05_08-26-56_Nr_2_LampaON_Fokus_0_77_Exp_6_CUT.png</t>
  </si>
  <si>
    <t>2026-03-05_08-27-16_Nr_2_LampaOFF_Fokus_0_79_Exp_1_CUT.png</t>
  </si>
  <si>
    <t>2026-03-05_08-27-22_Nr_2_LampaON_Fokus_0_79_Exp_1_CUT.png</t>
  </si>
  <si>
    <t>2026-03-05_08-30-06_Nr_3_LampaON_Fokus_0_91_Exp_1_CUT.png</t>
  </si>
  <si>
    <t>2026-03-05_08-30-10_Nr_3_LampaOFF_Fokus_0_91_Exp_1_CUT.png</t>
  </si>
  <si>
    <t>2026-03-05_08-30-18_Nr_3_LampaOFF_Fokus_0_86_Exp_1_CUT.png</t>
  </si>
  <si>
    <t>2026-03-05_08-30-24_Nr_3_LampaON_Fokus_0_77_Exp_1_CUT.png</t>
  </si>
  <si>
    <t>2026-03-05_08-30-33_Nr_3_LampaON_Fokus_0_74_Exp_1_CUT.png</t>
  </si>
  <si>
    <t>2026-03-05_08-30-36_Nr_3_LampaON_Fokus_0_74_Exp_-2_CUT.png</t>
  </si>
  <si>
    <t>2026-03-05_08-30-46_Nr_3_LampaON_Fokus_0_89_Exp_-2_CUT.png</t>
  </si>
  <si>
    <t>2026-03-05_08-30-52_Nr_3_LampaON_Fokus_0_89_Exp_-5_CUT.png</t>
  </si>
  <si>
    <t>2026-03-05_08-31-02_Nr_3_LampaOFF_Fokus_0_81_Exp_-4_CUT.png</t>
  </si>
  <si>
    <t>2026-03-05_08-31-11_Nr_3_LampaON_Fokus_0_79_Exp_-4_CUT.png</t>
  </si>
  <si>
    <t>2026-03-05_08-31-18_Nr_3_LampaON_Fokus_0_85_Exp_-4_CUT.png</t>
  </si>
  <si>
    <t>2026-03-05_08-31-21_Nr_3_LampaON_Fokus_0_85_Exp_-2_CUT.png</t>
  </si>
  <si>
    <t>2026-03-05_08-31-27_Nr_3_LampaOFF_Fokus_0_85_Exp_3_CUT.png</t>
  </si>
  <si>
    <t>2026-03-05_08-31-30_Nr_3_LampaOFF_Fokus_0_78_Exp_3_CUT.png</t>
  </si>
  <si>
    <t>2026-03-05_08-31-38_Nr_3_LampaON_Fokus_0_78_Exp_-4_CUT.png</t>
  </si>
  <si>
    <t>2026-03-05_08-33-24_Nr_4_LampaON_Fokus_0_93_Exp_-1_CUT.png</t>
  </si>
  <si>
    <t>2026-03-05_08-33-28_Nr_4_LampaON_Fokus_0_93_Exp_-6_CUT.png</t>
  </si>
  <si>
    <t>2026-03-05_08-33-33_Nr_4_LampaON_Fokus_0_89_Exp_-6_CUT.png</t>
  </si>
  <si>
    <t>2026-03-05_08-33-36_Nr_4_LampaOFF_Fokus_0_89_Exp_-6_CUT.png</t>
  </si>
  <si>
    <t>2026-03-05_08-33-40_Nr_4_LampaOFF_Fokus_0_89_Exp_-2_CUT.png</t>
  </si>
  <si>
    <t>2026-03-05_08-33-47_Nr_4_LampaOFF_Fokus_0_91_Exp_-2_CUT.png</t>
  </si>
  <si>
    <t>2026-03-05_08-33-56_Nr_4_LampaON_Fokus_0_91_Exp_-3_CUT.png</t>
  </si>
  <si>
    <t>2026-03-05_08-34-01_Nr_4_LampaON_Fokus_0_91_Exp_-3_CUT.png</t>
  </si>
  <si>
    <t>2026-03-05_08-34-05_Nr_4_LampaOFF_Fokus_0_87_Exp_-3_CUT.png</t>
  </si>
  <si>
    <t>2026-03-05_08-34-12_Nr_4_LampaOFF_Fokus_0_85_Exp_-3_CUT.png</t>
  </si>
  <si>
    <t>2026-03-05_08-34-14_Nr_4_LampaOFF_Fokus_0_85_Exp_0_CUT.png</t>
  </si>
  <si>
    <t>2026-03-05_08-34-17_Nr_4_LampaON_Fokus_0_85_Exp_0_CUT.png</t>
  </si>
  <si>
    <t>2026-03-05_08-34-30_Nr_4_LampaON_Fokus_0_95_Exp_0_CUT.png</t>
  </si>
  <si>
    <t>2026-03-05_08-34-34_Nr_4_LampaOFF_Fokus_0_95_Exp_5_CUT.png</t>
  </si>
  <si>
    <t>2026-03-05_08-34-53_Nr_4_LampaON_Fokus_0_97_Exp_-4_CUT.png</t>
  </si>
  <si>
    <t>2026-03-05_08-39-10_Nr_5_LampaON_Fokus_1_0_Exp_-3_CUT.png</t>
  </si>
  <si>
    <t>2026-03-05_08-39-18_Nr_5_LampaON_Fokus_1_0_Exp_-5_CUT.png</t>
  </si>
  <si>
    <t>2026-03-05_08-39-22_Nr_5_LampaOFF_Fokus_1_0_Exp_-5_CUT.png</t>
  </si>
  <si>
    <t>2026-03-05_08-39-33_Nr_5_LampaOFF_Fokus_1_0_Exp_-2_CUT.png</t>
  </si>
  <si>
    <t>2026-03-05_08-39-37_Nr_5_LampaON_Fokus_1_0_Exp_-2_CUT.png</t>
  </si>
  <si>
    <t>2026-03-05_08-39-49_Nr_5_LampaON_Fokus_1_0_Exp_-2_CUT.png</t>
  </si>
  <si>
    <t>2026-03-05_08-39-51_Nr_5_LampaON_Fokus_1_0_Exp_-4_CUT.png</t>
  </si>
  <si>
    <t>2026-03-05_08-39-57_Nr_5_LampaOFF_Fokus_1_0_Exp_3_CUT.png</t>
  </si>
  <si>
    <t>2026-03-05_08-40-27_Nr_5_LampaON_Fokus_0_98_Exp_-3_CUT.png</t>
  </si>
  <si>
    <t>2026-03-05_08-40-30_Nr_5_LampaON_Fokus_0_98_Exp_2_CUT.png</t>
  </si>
  <si>
    <t>2026-03-05_08-40-40_Nr_5_LampaON_Fokus_1_0_Exp_-1_CUT.png</t>
  </si>
  <si>
    <t>2026-03-05_08-40-56_Nr_5_LampaON_Fokus_1_0_Exp_-3_CUT.png</t>
  </si>
  <si>
    <t>2026-03-05_08-41-03_Nr_5_LampaON_Fokus_0_99_Exp_-3_CUT.png</t>
  </si>
  <si>
    <t>2026-03-05_08-41-06_Nr_5_LampaOFF_Fokus_1_0_Exp_-3_CUT.png</t>
  </si>
  <si>
    <t>2026-03-05_08-43-19_Nr_6_LampaOFF_Fokus_0_88_Exp_-3_CUT.png</t>
  </si>
  <si>
    <t>2026-03-05_08-43-21_Nr_6_LampaOFF_Fokus_0_88_Exp_-8_CUT.png</t>
  </si>
  <si>
    <t>2026-03-05_08-43-24_Nr_6_LampaON_Fokus_0_88_Exp_-8_CUT.png</t>
  </si>
  <si>
    <t>2026-03-05_08-43-36_Nr_6_LampaON_Fokus_0_78_Exp_-4_CUT.png</t>
  </si>
  <si>
    <t>2026-03-05_08-43-39_Nr_6_LampaOFF_Fokus_0_78_Exp_-4_CUT.png</t>
  </si>
  <si>
    <t>2026-03-05_08-43-45_Nr_6_LampaOFF_Fokus_0_76_Exp_2_CUT.png</t>
  </si>
  <si>
    <t>2026-03-05_08-43-54_Nr_6_LampaON_Fokus_0_76_Exp_2_CUT.png</t>
  </si>
  <si>
    <t>2026-03-05_08-43-57_Nr_6_LampaON_Fokus_0_76_Exp_-4_CUT.png</t>
  </si>
  <si>
    <t>2026-03-05_08-44-03_Nr_6_LampaON_Fokus_0_73_Exp_-4_CUT.png</t>
  </si>
  <si>
    <t>2026-03-05_08-44-16_Nr_6_LampaON_Fokus_0_88_Exp_-4_CUT.png</t>
  </si>
  <si>
    <t>2026-03-05_08-44-19_Nr_6_LampaON_Fokus_0_88_Exp_0_CUT.png</t>
  </si>
  <si>
    <t>2026-03-05_08-44-22_Nr_6_LampaOFF_Fokus_0_88_Exp_0_CUT.png</t>
  </si>
  <si>
    <t>2026-03-05_08-44-27_Nr_6_LampaOFF_Fokus_0_88_Exp_7_CUT.png</t>
  </si>
  <si>
    <t>2026-03-05_08-44-31_Nr_6_LampaOFF_Fokus_0_87_Exp_7_CUT.png</t>
  </si>
  <si>
    <t>2026-03-05_08-44-53_Nr_6_LampaON_Fokus_0_79_Exp_-6_CUT.png</t>
  </si>
  <si>
    <t>2026-03-05_08-44-57_Nr_6_LampaOFF_Fokus_0_79_Exp_-6_CUT.png</t>
  </si>
  <si>
    <t>2026-03-05_08-45-09_Nr_6_LampaON_Fokus_0_81_Exp_-6_CUT.png</t>
  </si>
  <si>
    <t>2026-03-05_08-45-12_Nr_6_LampaON_Fokus_0_81_Exp_-3_CUT.png</t>
  </si>
  <si>
    <t>2026-03-05_08-47-39_Nr_7_LampaON_Fokus_1_0_Exp_-3_CUT.png</t>
  </si>
  <si>
    <t>2026-03-05_08-47-41_Nr_7_LampaON_Fokus_1_0_Exp_-7_CUT.png</t>
  </si>
  <si>
    <t>2026-03-05_08-47-45_Nr_7_LampaOFF_Fokus_1_0_Exp_-7_CUT.png</t>
  </si>
  <si>
    <t>2026-03-05_08-47-52_Nr_7_LampaOFF_Fokus_1_0_Exp_-3_CUT.png</t>
  </si>
  <si>
    <t>2026-03-05_08-48-04_Nr_7_LampaON_Fokus_0_92_Exp_-3_CUT.png</t>
  </si>
  <si>
    <t>2026-03-05_08-48-06_Nr_7_LampaON_Fokus_0_92_Exp_1_CUT.png</t>
  </si>
  <si>
    <t>2026-03-05_08-48-26_Nr_7_LampaON_Fokus_0_83_Exp_-9_CUT.png</t>
  </si>
  <si>
    <t>2026-03-05_08-48-32_Nr_7_LampaON_Fokus_0_83_Exp_-9_CUT.png</t>
  </si>
  <si>
    <t>2026-03-05_08-48-34_Nr_7_LampaON_Fokus_0_83_Exp_-4_CUT.png</t>
  </si>
  <si>
    <t>2026-03-05_08-48-37_Nr_7_LampaOFF_Fokus_0_83_Exp_-4_CUT.png</t>
  </si>
  <si>
    <t>2026-03-05_08-48-40_Nr_7_LampaOFF_Fokus_0_8_Exp_-4_CUT.png</t>
  </si>
  <si>
    <t>2026-03-05_08-48-44_Nr_7_LampaOFF_Fokus_0_89_Exp_-4_CUT.png</t>
  </si>
  <si>
    <t>2026-03-05_08-49-00_Nr_7_LampaON_Fokus_0_78_Exp_-6_CUT.png</t>
  </si>
  <si>
    <t>2026-03-05_08-49-04_Nr_7_LampaOFF_Fokus_0_8_Exp_-6_CUT.png</t>
  </si>
  <si>
    <t>2026-03-05_08-49-07_Nr_7_LampaOFF_Fokus_0_8_Exp_1_CUT.png</t>
  </si>
  <si>
    <t>2026-03-05_08-49-11_Nr_7_LampaON_Fokus_0_8_Exp_-5_CUT.png</t>
  </si>
  <si>
    <t>2026-03-05_08-49-23_Nr_7_LampaON_Fokus_0_91_Exp_-5_CUT.png</t>
  </si>
  <si>
    <t>2026-03-05_08-49-26_Nr_7_LampaON_Fokus_0_91_Exp_-2_CUT.png</t>
  </si>
  <si>
    <t>2026-03-05_08-49-33_Nr_7_LampaON_Fokus_0_91_Exp_-5_CUT.png</t>
  </si>
  <si>
    <t>2026-03-05_08-49-39_Nr_7_LampaOFF_Fokus_0_91_Exp_7_CUT.png</t>
  </si>
  <si>
    <t>2026-03-05_08-54-39_Nr_8_LampaOFF_Fokus_1_0_Exp_1_CUT.png</t>
  </si>
  <si>
    <t>2026-03-05_08-54-56_Nr_8_LampaOFF_Fokus_0_95_Exp_1_CUT.png</t>
  </si>
  <si>
    <t>2026-03-05_08-54-58_Nr_8_LampaOFF_Fokus_0_95_Exp_-3_CUT.png</t>
  </si>
  <si>
    <t>2026-03-05_08-55-02_Nr_8_LampaON_Fokus_0_95_Exp_-3_CUT.png</t>
  </si>
  <si>
    <t>2026-03-05_08-55-06_Nr_8_LampaON_Fokus_0_95_Exp_3_CUT.png</t>
  </si>
  <si>
    <t>2026-03-05_08-55-10_Nr_8_LampaON_Fokus_0_95_Exp_-6_CUT.png</t>
  </si>
  <si>
    <t>2026-03-05_08-55-17_Nr_8_LampaOFF_Fokus_0_95_Exp_-4_CUT.png</t>
  </si>
  <si>
    <t>2026-03-05_08-55-23_Nr_8_LampaON_Fokus_0_95_Exp_-4_CUT.png</t>
  </si>
  <si>
    <t>2026-03-05_08-55-29_Nr_8_LampaON_Fokus_0_94_Exp_-4_CUT.png</t>
  </si>
  <si>
    <t>2026-03-05_08-55-31_Nr_8_LampaOFF_Fokus_0_94_Exp_-4_CUT.png</t>
  </si>
  <si>
    <t>2026-03-05_08-55-38_Nr_8_LampaON_Fokus_0_89_Exp_-4_CUT.png</t>
  </si>
  <si>
    <t>2026-03-05_08-55-44_Nr_8_LampaOFF_Fokus_0_89_Exp_1_CUT.png</t>
  </si>
  <si>
    <t>2026-03-05_08-55-52_Nr_8_LampaOFF_Fokus_0_94_Exp_1_CUT.png</t>
  </si>
  <si>
    <t>2026-03-05_08-56-01_Nr_8_LampaON_Fokus_0_87_Exp_-4_CUT.png</t>
  </si>
  <si>
    <t>2026-03-05_08-56-12_Nr_8_LampaON_Fokus_0_79_Exp_-4_CUT.png</t>
  </si>
  <si>
    <t>2026-03-05_08-56-16_Nr_8_LampaOFF_Fokus_0_91_Exp_-4_CUT.png</t>
  </si>
  <si>
    <t>2026-03-05_08-56-18_Nr_8_LampaON_Fokus_0_91_Exp_-4_CUT.png</t>
  </si>
  <si>
    <t>2026-03-05_08-58-16_Nr_9_LampaON_Fokus_0_53_Exp_-4_CUT.png</t>
  </si>
  <si>
    <t>2026-03-05_08-58-19_Nr_9_LampaON_Fokus_0_53_Exp_-6_CUT.png</t>
  </si>
  <si>
    <t>2026-03-05_08-58-22_Nr_9_LampaOFF_Fokus_0_53_Exp_-6_CUT.png</t>
  </si>
  <si>
    <t>2026-03-05_08-58-24_Nr_9_LampaOFF_Fokus_0_53_Exp_-6_CUT.png</t>
  </si>
  <si>
    <t>2026-03-05_08-58-33_Nr_9_LampaON_Fokus_0_74_Exp_-6_CUT.png</t>
  </si>
  <si>
    <t>2026-03-05_08-58-40_Nr_9_LampaON_Fokus_0_74_Exp_1_CUT.png</t>
  </si>
  <si>
    <t>2026-03-05_08-58-46_Nr_9_LampaOFF_Fokus_0_7_Exp_1_CUT.png</t>
  </si>
  <si>
    <t>2026-03-05_08-58-53_Nr_9_LampaOFF_Fokus_0_71_Exp_1_CUT.png</t>
  </si>
  <si>
    <t>2026-03-05_08-58-55_Nr_9_LampaOFF_Fokus_0_71_Exp_-2_CUT.png</t>
  </si>
  <si>
    <t>2026-03-05_08-59-05_Nr_9_LampaON_Fokus_0_56_Exp_-2_CUT.png</t>
  </si>
  <si>
    <t>2026-03-05_08-59-11_Nr_9_LampaON_Fokus_0_56_Exp_0_CUT.png</t>
  </si>
  <si>
    <t>2026-03-05_08-59-16_Nr_9_LampaON_Fokus_0_56_Exp_0_CUT.png</t>
  </si>
  <si>
    <t>2026-03-05_08-59-19_Nr_9_LampaOFF_Fokus_0_56_Exp_0_CUT.png</t>
  </si>
  <si>
    <t>2026-03-05_08-59-22_Nr_9_LampaOFF_Fokus_0_56_Exp_5_CUT.png</t>
  </si>
  <si>
    <t>2026-03-05_08-59-39_Nr_9_LampaOFF_Fokus_0_63_Exp_2_CUT.png</t>
  </si>
  <si>
    <t>2026-03-05_08-59-44_Nr_9_LampaON_Fokus_0_63_Exp_2_CUT.png</t>
  </si>
  <si>
    <t>2026-03-05_08-59-48_Nr_9_LampaON_Fokus_0_63_Exp_-4_CUT.png</t>
  </si>
  <si>
    <t>2026-03-05_09-00-03_Nr_9_LampaON_Fokus_0_64_Exp_-4_CUT.png</t>
  </si>
  <si>
    <t>2026-03-05_09-00-05_Nr_9_LampaON_Fokus_0_64_Exp_-2_CUT.png</t>
  </si>
  <si>
    <t>2026-03-05_09-00-08_Nr_9_LampaON_Fokus_0_64_Exp_-8_CUT.png</t>
  </si>
  <si>
    <t>2026-03-05_09-01-57_Nr_10_LampaOFF_Fokus_0_6_Exp_-8_CUT.png</t>
  </si>
  <si>
    <t>2026-03-05_09-01-59_Nr_10_LampaOFF_Fokus_0_6_Exp_-5_CUT.png</t>
  </si>
  <si>
    <t>2026-03-05_09-02-03_Nr_10_LampaON_Fokus_0_6_Exp_-5_CUT.png</t>
  </si>
  <si>
    <t>2026-03-05_09-02-11_Nr_10_LampaON_Fokus_0_74_Exp_-7_CUT.png</t>
  </si>
  <si>
    <t>2026-03-05_09-02-13_Nr_10_LampaON_Fokus_0_74_Exp_-4_CUT.png</t>
  </si>
  <si>
    <t>2026-03-05_09-02-17_Nr_10_LampaON_Fokus_0_78_Exp_-4_CUT.png</t>
  </si>
  <si>
    <t>2026-03-05_09-02-20_Nr_10_LampaOFF_Fokus_0_78_Exp_-4_CUT.png</t>
  </si>
  <si>
    <t>2026-03-05_09-02-27_Nr_10_LampaOFF_Fokus_0_78_Exp_-4_CUT.png</t>
  </si>
  <si>
    <t>2026-03-05_09-02-30_Nr_10_LampaON_Fokus_0_78_Exp_-4_CUT.png</t>
  </si>
  <si>
    <t>2026-03-05_09-02-33_Nr_10_LampaON_Fokus_0_78_Exp_-8_CUT.png</t>
  </si>
  <si>
    <t>2026-03-05_09-02-38_Nr_10_LampaOFF_Fokus_0_74_Exp_-8_CUT.png</t>
  </si>
  <si>
    <t>2026-03-05_09-02-47_Nr_10_LampaOFF_Fokus_0_82_Exp_-5_CUT.png</t>
  </si>
  <si>
    <t>2026-03-05_09-02-52_Nr_10_LampaON_Fokus_0_82_Exp_-5_CUT.png</t>
  </si>
  <si>
    <t>2026-03-05_09-02-55_Nr_10_LampaON_Fokus_0_77_Exp_-5_CUT.png</t>
  </si>
  <si>
    <t>2026-03-05_09-02-57_Nr_10_LampaON_Fokus_0_77_Exp_-7_CUT.png</t>
  </si>
  <si>
    <t>2026-03-05_09-03-00_Nr_10_LampaON_Fokus_0_67_Exp_-7_CUT.png</t>
  </si>
  <si>
    <t>2026-03-05_09-03-04_Nr_10_LampaOFF_Fokus_0_67_Exp_-7_CUT.png</t>
  </si>
  <si>
    <t>2026-03-05_09-03-07_Nr_10_LampaOFF_Fokus_0_67_Exp_-4_CUT.png</t>
  </si>
  <si>
    <t>2026-03-05_09-04-43_Nr_11_LampaOFF_Fokus_1_0_Exp_-4_CUT.png</t>
  </si>
  <si>
    <t>2026-03-05_09-04-46_Nr_11_LampaOFF_Fokus_1_0_Exp_-7_CUT.png</t>
  </si>
  <si>
    <t>2026-03-05_09-04-49_Nr_11_LampaON_Fokus_1_0_Exp_-7_CUT.png</t>
  </si>
  <si>
    <t>2026-03-05_09-04-54_Nr_11_LampaON_Fokus_1_0_Exp_-7_CUT.png</t>
  </si>
  <si>
    <t>2026-03-05_09-04-57_Nr_11_LampaOFF_Fokus_1_0_Exp_-7_CUT.png</t>
  </si>
  <si>
    <t>2026-03-05_09-05-02_Nr_11_LampaOFF_Fokus_1_0_Exp_-1_CUT.png</t>
  </si>
  <si>
    <t>2026-03-05_09-05-06_Nr_11_LampaOFF_Fokus_0_98_Exp_-1_CUT.png</t>
  </si>
  <si>
    <t>2026-03-05_09-05-13_Nr_11_LampaON_Fokus_0_98_Exp_-1_CUT.png</t>
  </si>
  <si>
    <t>2026-03-05_09-05-15_Nr_11_LampaON_Fokus_0_98_Exp_-4_CUT.png</t>
  </si>
  <si>
    <t>2026-03-05_09-05-19_Nr_11_LampaON_Fokus_0_88_Exp_-4_CUT.png</t>
  </si>
  <si>
    <t>2026-03-05_09-05-24_Nr_11_LampaOFF_Fokus_0_88_Exp_-4_CUT.png</t>
  </si>
  <si>
    <t>2026-03-05_09-05-26_Nr_11_LampaON_Fokus_0_88_Exp_-4_CUT.png</t>
  </si>
  <si>
    <t>2026-03-05_09-05-30_Nr_11_LampaON_Fokus_0_88_Exp_-10_CUT.png</t>
  </si>
  <si>
    <t>2026-03-05_09-05-38_Nr_11_LampaON_Fokus_0_84_Exp_-10_CUT.png</t>
  </si>
  <si>
    <t>2026-03-05_09-05-41_Nr_11_LampaON_Fokus_0_94_Exp_-10_CUT.png</t>
  </si>
  <si>
    <t>2026-03-05_09-05-43_Nr_11_LampaON_Fokus_0_94_Exp_-8_CUT.png</t>
  </si>
  <si>
    <t>2026-03-05_09-05-48_Nr_11_LampaON_Fokus_0_92_Exp_-8_CUT.png</t>
  </si>
  <si>
    <t>2026-03-05_09-05-51_Nr_11_LampaOFF_Fokus_0_92_Exp_-8_CUT.png</t>
  </si>
  <si>
    <t>2026-03-05_09-06-01_Nr_11_LampaON_Fokus_0_92_Exp_-8_CUT.png</t>
  </si>
  <si>
    <t>2026-03-05_09-06-16_Nr_11_LampaON_Fokus_0_89_Exp_-8_CUT.png</t>
  </si>
  <si>
    <t>2026-03-05_09-08-16_Nr_12_LampaON_Fokus_1_0_Exp_-7_CUT.png</t>
  </si>
  <si>
    <t>2026-03-05_09-08-24_Nr_12_LampaON_Fokus_1_0_Exp_-6_CUT.png</t>
  </si>
  <si>
    <t>2026-03-05_09-08-26_Nr_12_LampaOFF_Fokus_1_0_Exp_-6_CUT.png</t>
  </si>
  <si>
    <t>2026-03-05_09-08-29_Nr_12_LampaOFF_Fokus_1_0_Exp_2_CUT.png</t>
  </si>
  <si>
    <t>2026-03-05_09-08-32_Nr_12_LampaOFF_Fokus_1_0_Exp_-12_CUT.png</t>
  </si>
  <si>
    <t>2026-03-05_09-08-48_Nr_12_LampaOFF_Fokus_1_0_Exp_-2_CUT.png</t>
  </si>
  <si>
    <t>2026-03-05_09-08-55_Nr_12_LampaON_Fokus_1_0_Exp_-2_CUT.png</t>
  </si>
  <si>
    <t>2026-03-05_09-09-00_Nr_12_LampaON_Fokus_0_91_Exp_-5_CUT.png</t>
  </si>
  <si>
    <t>2026-03-05_09-09-02_Nr_12_LampaON_Fokus_0_91_Exp_-7_CUT.png</t>
  </si>
  <si>
    <t>2026-03-05_09-09-07_Nr_12_LampaOFF_Fokus_0_93_Exp_-7_CUT.png</t>
  </si>
  <si>
    <t>2026-03-05_09-09-21_Nr_12_LampaON_Fokus_0_93_Exp_-7_CUT.png</t>
  </si>
  <si>
    <t>2026-03-05_09-09-24_Nr_12_LampaON_Fokus_0_93_Exp_-2_CUT.png</t>
  </si>
  <si>
    <t>2026-03-05_09-09-26_Nr_12_LampaOFF_Fokus_0_93_Exp_-2_CUT.png</t>
  </si>
  <si>
    <t>2026-03-05_09-09-29_Nr_12_LampaOFF_Fokus_0_93_Exp_-7_CUT.png</t>
  </si>
  <si>
    <t>2026-03-05_09-09-34_Nr_12_LampaOFF_Fokus_0_85_Exp_-7_CUT.png</t>
  </si>
  <si>
    <t>2026-03-05_09-09-37_Nr_12_LampaON_Fokus_0_85_Exp_-7_CUT.png</t>
  </si>
  <si>
    <t>2026-03-05_09-09-40_Nr_12_LampaON_Fokus_0_85_Exp_3_CUT.png</t>
  </si>
  <si>
    <t>2026-03-05_09-09-47_Nr_12_LampaOFF_Fokus_0_88_Exp_3_CUT.png</t>
  </si>
  <si>
    <t>2026-03-05_09-09-49_Nr_12_LampaOFF_Fokus_0_88_Exp_3_CUT.png</t>
  </si>
  <si>
    <t>2026-03-05_09-09-53_Nr_12_LampaON_Fokus_0_88_Exp_0_CUT.png</t>
  </si>
  <si>
    <t>2026-03-05_09-16-04_Nr_13_LampaON_Fokus_0_97_Exp_0_CUT.png</t>
  </si>
  <si>
    <t>2026-03-05_09-16-06_Nr_13_LampaON_Fokus_0_97_Exp_-5_CUT.png</t>
  </si>
  <si>
    <t>2026-03-05_09-16-09_Nr_13_LampaON_Fokus_0_97_Exp_-7_CUT.png</t>
  </si>
  <si>
    <t>2026-03-05_09-16-11_Nr_13_LampaOFF_Fokus_0_97_Exp_-7_CUT.png</t>
  </si>
  <si>
    <t>2026-03-05_09-16-16_Nr_13_LampaOFF_Fokus_0_97_Exp_3_CUT.png</t>
  </si>
  <si>
    <t>2026-03-05_09-16-21_Nr_13_LampaOFF_Fokus_0_9_Exp_3_CUT.png</t>
  </si>
  <si>
    <t>2026-03-05_09-16-29_Nr_13_LampaON_Fokus_0_9_Exp_-2_CUT.png</t>
  </si>
  <si>
    <t>2026-03-05_09-16-42_Nr_13_LampaON_Fokus_0_81_Exp_-6_CUT.png</t>
  </si>
  <si>
    <t>2026-03-05_09-16-47_Nr_13_LampaOFF_Fokus_0_81_Exp_-6_CUT.png</t>
  </si>
  <si>
    <t>2026-03-05_09-17-03_Nr_13_LampaON_Fokus_0_79_Exp_-3_CUT.png</t>
  </si>
  <si>
    <t>2026-03-05_09-44-48_Nr_14_LampaON_Fokus_0_79_Exp_0_CUT.png</t>
  </si>
  <si>
    <t>2026-03-05_09-44-53_Nr_14_LampaON_Fokus_0_79_Exp_-7_CUT.png</t>
  </si>
  <si>
    <t>2026-03-05_09-45-05_Nr_14_LampaON_Fokus_0_77_Exp_-7_CUT.png</t>
  </si>
  <si>
    <t>2026-03-05_09-45-07_Nr_14_LampaOFF_Fokus_0_77_Exp_-7_CUT.png</t>
  </si>
  <si>
    <t>2026-03-05_09-45-10_Nr_14_LampaOFF_Fokus_0_77_Exp_-5_CUT.png</t>
  </si>
  <si>
    <t>2026-03-05_09-45-16_Nr_14_LampaON_Fokus_0_84_Exp_-5_CUT.png</t>
  </si>
  <si>
    <t>2026-03-05_09-45-24_Nr_14_LampaON_Fokus_0_79_Exp_-5_CUT.png</t>
  </si>
  <si>
    <t>2026-03-05_09-45-26_Nr_14_LampaON_Fokus_0_79_Exp_-7_CUT.png</t>
  </si>
  <si>
    <t>2026-03-05_09-45-29_Nr_14_LampaON_Fokus_0_79_Exp_-2_CUT.png</t>
  </si>
  <si>
    <t>2026-03-05_09-45-32_Nr_14_LampaOFF_Fokus_0_79_Exp_-1_CUT.png</t>
  </si>
  <si>
    <t>2026-03-05_09-45-35_Nr_14_LampaOFF_Fokus_0_79_Exp_2_CUT.png</t>
  </si>
  <si>
    <t>2026-03-05_09-45-42_Nr_14_LampaON_Fokus_0_71_Exp_2_CUT.png</t>
  </si>
  <si>
    <t>2026-03-05_09-45-48_Nr_14_LampaON_Fokus_0_71_Exp_-6_CUT.png</t>
  </si>
  <si>
    <t>2026-03-05_09-45-59_Nr_14_LampaON_Fokus_0_73_Exp_-6_CUT.png</t>
  </si>
  <si>
    <t>2026-03-05_09-46-02_Nr_14_LampaON_Fokus_0_73_Exp_-3_CUT.png</t>
  </si>
  <si>
    <t>2026-03-05_09-46-05_Nr_14_LampaON_Fokus_0_73_Exp_-9_CUT.png</t>
  </si>
  <si>
    <t>2026-03-05_09-46-08_Nr_14_LampaOFF_Fokus_0_73_Exp_-9_CUT.png</t>
  </si>
  <si>
    <t>2026-03-05_09-46-11_Nr_14_LampaOFF_Fokus_0_73_Exp_3_CUT.png</t>
  </si>
  <si>
    <t>2026-03-05_09-46-14_Nr_14_LampaOFF_Fokus_0_73_Exp_1_CUT.png</t>
  </si>
  <si>
    <t>2026-03-05_09-47-19_Nr_15_LampaON_Fokus_0_83_Exp_1_CUT.png</t>
  </si>
  <si>
    <t>2026-03-05_09-47-23_Nr_15_LampaON_Fokus_0_83_Exp_-6_CUT.png</t>
  </si>
  <si>
    <t>2026-03-05_09-47-25_Nr_15_LampaOFF_Fokus_0_83_Exp_-6_CUT.png</t>
  </si>
  <si>
    <t>2026-03-05_09-47-30_Nr_15_LampaOFF_Fokus_0_8_Exp_-6_CUT.png</t>
  </si>
  <si>
    <t>2026-03-05_09-47-33_Nr_15_LampaOFF_Fokus_0_8_Exp_2_CUT.png</t>
  </si>
  <si>
    <t>2026-03-05_09-47-43_Nr_15_LampaON_Fokus_0_78_Exp_0_CUT.png</t>
  </si>
  <si>
    <t>2026-03-05_09-47-50_Nr_15_LampaON_Fokus_0_68_Exp_0_CUT.png</t>
  </si>
  <si>
    <t>2026-03-05_09-47-52_Nr_15_LampaON_Fokus_0_68_Exp_-6_CUT.png</t>
  </si>
  <si>
    <t>2026-03-05_09-47-55_Nr_15_LampaOFF_Fokus_0_68_Exp_-6_CUT.png</t>
  </si>
  <si>
    <t>2026-03-05_09-47-58_Nr_15_LampaOFF_Fokus_0_68_Exp_5_CUT.png</t>
  </si>
  <si>
    <t>2026-03-05_09-48-05_Nr_15_LampaON_Fokus_0_73_Exp_5_CUT.png</t>
  </si>
  <si>
    <t>2026-03-05_09-48-07_Nr_15_LampaON_Fokus_0_73_Exp_-4_CUT.png</t>
  </si>
  <si>
    <t>2026-03-05_09-48-11_Nr_15_LampaOFF_Fokus_0_73_Exp_-4_CUT.png</t>
  </si>
  <si>
    <t>2026-03-05_09-48-20_Nr_15_LampaOFF_Fokus_0_79_Exp_-4_CUT.png</t>
  </si>
  <si>
    <t>2026-03-05_09-48-23_Nr_15_LampaON_Fokus_0_79_Exp_-8_CUT.png</t>
  </si>
  <si>
    <t>2026-03-05_09-48-26_Nr_15_LampaON_Fokus_0_79_Exp_-1_CUT.png</t>
  </si>
  <si>
    <t>2026-03-05_09-48-31_Nr_15_LampaOFF_Fokus_0_79_Exp_4_CUT.png</t>
  </si>
  <si>
    <t>2026-03-05_09-48-34_Nr_15_LampaOFF_Fokus_0_79_Exp_-7_CUT.png</t>
  </si>
  <si>
    <t>2026-03-05_09-48-39_Nr_15_LampaON_Fokus_0_85_Exp_-7_CUT.png</t>
  </si>
  <si>
    <t>2026-03-05_09-57-30_Nr_16_LampaON_Fokus_0_75_Exp_-7_CUT.png</t>
  </si>
  <si>
    <t>2026-03-05_09-57-32_Nr_16_LampaON_Fokus_0_75_Exp_-9_CUT.png</t>
  </si>
  <si>
    <t>2026-03-05_09-57-35_Nr_16_LampaON_Fokus_0_75_Exp_0_CUT.png</t>
  </si>
  <si>
    <t>2026-03-05_09-57-37_Nr_16_LampaON_Fokus_0_75_Exp_3_CUT.png</t>
  </si>
  <si>
    <t>2026-03-05_09-57-41_Nr_16_LampaOFF_Fokus_0_75_Exp_3_CUT.png</t>
  </si>
  <si>
    <t>2026-03-05_09-57-44_Nr_16_LampaOFF_Fokus_0_75_Exp_-2_CUT.png</t>
  </si>
  <si>
    <t>2026-03-05_09-57-48_Nr_16_LampaOFF_Fokus_0_75_Exp_-5_CUT.png</t>
  </si>
  <si>
    <t>2026-03-05_09-57-57_Nr_16_LampaON_Fokus_0_62_Exp_-5_CUT.png</t>
  </si>
  <si>
    <t>2026-03-05_09-58-00_Nr_16_LampaON_Fokus_0_62_Exp_-1_CUT.png</t>
  </si>
  <si>
    <t>2026-03-05_09-58-03_Nr_16_LampaON_Fokus_0_62_Exp_-9_CUT.png</t>
  </si>
  <si>
    <t>2026-03-05_09-58-11_Nr_16_LampaON_Fokus_0_68_Exp_-9_CUT.png</t>
  </si>
  <si>
    <t>2026-03-05_09-58-14_Nr_16_LampaON_Fokus_0_68_Exp_-4_CUT.png</t>
  </si>
  <si>
    <t>2026-03-05_09-58-17_Nr_16_LampaON_Fokus_0_68_Exp_-1_CUT.png</t>
  </si>
  <si>
    <t>2026-03-05_09-58-28_Nr_16_LampaON_Fokus_0_94_Exp_-1_CUT.png</t>
  </si>
  <si>
    <t>2026-03-05_09-58-30_Nr_16_LampaON_Fokus_0_94_Exp_-4_CUT.png</t>
  </si>
  <si>
    <t>2026-03-05_09-58-35_Nr_16_LampaON_Fokus_0_93_Exp_-4_CUT.png</t>
  </si>
  <si>
    <t>2026-03-05_09-58-37_Nr_16_LampaON_Fokus_0_93_Exp_-2_CUT.png</t>
  </si>
  <si>
    <t>2026-03-05_09-58-41_Nr_16_LampaON_Fokus_0_93_Exp_-6_CUT.png</t>
  </si>
  <si>
    <t>2026-03-05_10-00-45_Nr_17_LampaOFF_Fokus_0_88_Exp_-4_CUT.png</t>
  </si>
  <si>
    <t>2026-03-05_10-00-55_Nr_17_LampaOFF_Fokus_0_96_Exp_-4_CUT.png</t>
  </si>
  <si>
    <t>2026-03-05_10-00-57_Nr_17_LampaOFF_Fokus_0_96_Exp_1_CUT.png</t>
  </si>
  <si>
    <t>2026-03-05_10-01-00_Nr_17_LampaON_Fokus_0_96_Exp_1_CUT.png</t>
  </si>
  <si>
    <t>2026-03-05_10-01-19_Nr_17_LampaON_Fokus_0_81_Exp_-3_CUT.png</t>
  </si>
  <si>
    <t>2026-03-05_10-01-37_Nr_17_LampaON_Fokus_0_76_Exp_-3_CUT.png</t>
  </si>
  <si>
    <t>2026-03-05_10-01-44_Nr_17_LampaON_Fokus_0_78_Exp_-5_CUT.png</t>
  </si>
  <si>
    <t>2026-03-05_10-01-47_Nr_17_LampaON_Fokus_0_78_Exp_-7_CUT.png</t>
  </si>
  <si>
    <t>2026-03-05_10-01-53_Nr_17_LampaOFF_Fokus_0_91_Exp_-7_CUT.png</t>
  </si>
  <si>
    <t>2026-03-05_10-01-57_Nr_17_LampaOFF_Fokus_0_91_Exp_5_CUT.png</t>
  </si>
  <si>
    <t>2026-03-05_10-02-00_Nr_17_LampaON_Fokus_0_91_Exp_1_CUT.png</t>
  </si>
  <si>
    <t>2026-03-05_10-02-03_Nr_17_LampaON_Fokus_0_91_Exp_-6_CUT.png</t>
  </si>
  <si>
    <t>2026-03-05_10-02-06_Nr_17_LampaON_Fokus_0_86_Exp_-6_CUT.png</t>
  </si>
  <si>
    <t>2026-03-05_10-02-09_Nr_17_LampaOFF_Fokus_0_86_Exp_-9_CUT.png</t>
  </si>
  <si>
    <t>2026-03-05_10-02-13_Nr_17_LampaOFF_Fokus_0_93_Exp_-9_CUT.png</t>
  </si>
  <si>
    <t>2026-03-05_10-02-23_Nr_17_LampaOFF_Fokus_0_89_Exp_5_CUT.png</t>
  </si>
  <si>
    <t>2026-03-05_10-05-40_Nr_18_LampaON_Fokus_0_83_Exp_-6_CUT.png</t>
  </si>
  <si>
    <t>2026-03-05_10-05-42_Nr_18_LampaON_Fokus_0_83_Exp_-1_CUT.png</t>
  </si>
  <si>
    <t>2026-03-05_10-05-45_Nr_18_LampaON_Fokus_0_83_Exp_4_CUT.png</t>
  </si>
  <si>
    <t>2026-03-05_10-05-47_Nr_18_LampaOFF_Fokus_0_83_Exp_4_CUT.png</t>
  </si>
  <si>
    <t>2026-03-05_10-05-50_Nr_18_LampaOFF_Fokus_0_83_Exp_-3_CUT.png</t>
  </si>
  <si>
    <t>2026-03-05_10-05-53_Nr_18_LampaOFF_Fokus_0_83_Exp_-9_CUT.png</t>
  </si>
  <si>
    <t>2026-03-05_10-06-08_Nr_18_LampaON_Fokus_0_84_Exp_-9_CUT.png</t>
  </si>
  <si>
    <t>2026-03-05_10-06-10_Nr_18_LampaON_Fokus_0_84_Exp_-4_CUT.png</t>
  </si>
  <si>
    <t>2026-03-05_10-06-13_Nr_18_LampaON_Fokus_0_84_Exp_2_CUT.png</t>
  </si>
  <si>
    <t>2026-03-05_10-06-15_Nr_18_LampaOFF_Fokus_0_84_Exp_2_CUT.png</t>
  </si>
  <si>
    <t>2026-03-05_10-06-17_Nr_18_LampaOFF_Fokus_0_84_Exp_-3_CUT.png</t>
  </si>
  <si>
    <t>2026-03-05_10-06-19_Nr_18_LampaOFF_Fokus_0_84_Exp_-8_CUT.png</t>
  </si>
  <si>
    <t>2026-03-05_10-06-31_Nr_18_LampaOFF_Fokus_0_79_Exp_-8_CUT.png</t>
  </si>
  <si>
    <t>2026-03-05_10-06-33_Nr_18_LampaOFF_Fokus_0_79_Exp_-2_CUT.png</t>
  </si>
  <si>
    <t>2026-03-05_10-06-36_Nr_18_LampaON_Fokus_0_79_Exp_-2_CUT.png</t>
  </si>
  <si>
    <t>2026-03-05_10-06-43_Nr_18_LampaON_Fokus_0_92_Exp_-2_CUT.png</t>
  </si>
  <si>
    <t>2026-03-05_10-06-46_Nr_18_LampaON_Fokus_0_92_Exp_-7_CUT.png</t>
  </si>
  <si>
    <t>2026-03-05_10-08-38_Nr_19_LampaON_Fokus_1_0_Exp_-7_CUT.png</t>
  </si>
  <si>
    <t>2026-03-05_10-08-44_Nr_19_LampaOFF_Fokus_1_0_Exp_-12_CUT.png</t>
  </si>
  <si>
    <t>2026-03-05_10-08-46_Nr_19_LampaOFF_Fokus_1_0_Exp_-6_CUT.png</t>
  </si>
  <si>
    <t>2026-03-05_10-08-52_Nr_19_LampaON_Fokus_1_0_Exp_-6_CUT.png</t>
  </si>
  <si>
    <t>2026-03-05_10-08-55_Nr_19_LampaON_Fokus_1_0_Exp_-2_CUT.png</t>
  </si>
  <si>
    <t>2026-03-05_10-08-57_Nr_19_LampaOFF_Fokus_1_0_Exp_-2_CUT.png</t>
  </si>
  <si>
    <t>2026-03-05_10-09-03_Nr_19_LampaOFF_Fokus_1_0_Exp_3_CUT.png</t>
  </si>
  <si>
    <t>2026-03-05_10-09-06_Nr_19_LampaON_Fokus_1_0_Exp_3_CUT.png</t>
  </si>
  <si>
    <t>2026-03-05_10-09-21_Nr_19_LampaON_Fokus_0_81_Exp_3_CUT.png</t>
  </si>
  <si>
    <t>2026-03-05_10-09-23_Nr_19_LampaON_Fokus_0_81_Exp_-3_CUT.png</t>
  </si>
  <si>
    <t>2026-03-05_10-09-26_Nr_19_LampaON_Fokus_0_81_Exp_-7_CUT.png</t>
  </si>
  <si>
    <t>2026-03-05_10-09-33_Nr_19_LampaON_Fokus_0_81_Exp_-7_CUT.png</t>
  </si>
  <si>
    <t>2026-03-05_10-09-36_Nr_19_LampaOFF_Fokus_0_81_Exp_-7_CUT.png</t>
  </si>
  <si>
    <t>2026-03-05_10-09-38_Nr_19_LampaOFF_Fokus_0_81_Exp_-4_CUT.png</t>
  </si>
  <si>
    <t>2026-03-05_10-09-41_Nr_19_LampaON_Fokus_0_81_Exp_-4_CUT.png</t>
  </si>
  <si>
    <t>2026-03-05_10-09-50_Nr_19_LampaON_Fokus_0_81_Exp_-4_CUT.png</t>
  </si>
  <si>
    <t>2026-03-05_10-09-55_Nr_19_LampaOFF_Fokus_0_81_Exp_-10_CUT.png</t>
  </si>
  <si>
    <t>2026-03-05_10-09-58_Nr_19_LampaOFF_Fokus_0_81_Exp_6_CUT.png</t>
  </si>
  <si>
    <t>2026-03-05_10-10-01_Nr_19_LampaOFF_Fokus_0_81_Exp_-1_CUT.png</t>
  </si>
  <si>
    <t>2026-03-05_10-11-09_Nr_20_LampaOFF_Fokus_0_97_Exp_-12_CUT.png</t>
  </si>
  <si>
    <t>2026-03-05_10-11-11_Nr_20_LampaOFF_Fokus_0_97_Exp_-7_CUT.png</t>
  </si>
  <si>
    <t>2026-03-05_10-11-14_Nr_20_LampaON_Fokus_0_97_Exp_-7_CUT.png</t>
  </si>
  <si>
    <t>2026-03-05_10-11-16_Nr_20_LampaON_Fokus_0_97_Exp_-1_CUT.png</t>
  </si>
  <si>
    <t>2026-03-05_10-11-18_Nr_20_LampaOFF_Fokus_0_97_Exp_-1_CUT.png</t>
  </si>
  <si>
    <t>2026-03-05_10-11-21_Nr_20_LampaOFF_Fokus_0_97_Exp_3_CUT.png</t>
  </si>
  <si>
    <t>2026-03-05_10-11-24_Nr_20_LampaON_Fokus_0_97_Exp_3_CUT.png</t>
  </si>
  <si>
    <t>2026-03-05_10-11-27_Nr_20_LampaON_Fokus_0_97_Exp_7_CUT.png</t>
  </si>
  <si>
    <t>2026-03-05_10-11-29_Nr_20_LampaOFF_Fokus_0_97_Exp_7_CUT.png</t>
  </si>
  <si>
    <t>2026-03-05_10-11-39_Nr_20_LampaOFF_Fokus_0_72_Exp_7_CUT.png</t>
  </si>
  <si>
    <t>2026-03-05_10-11-43_Nr_20_LampaON_Fokus_0_72_Exp_-5_CUT.png</t>
  </si>
  <si>
    <t>2026-03-05_10-11-46_Nr_20_LampaOFF_Fokus_0_72_Exp_-5_CUT.png</t>
  </si>
  <si>
    <t>2026-03-05_10-11-56_Nr_20_LampaON_Fokus_0_72_Exp_-5_CUT.png</t>
  </si>
  <si>
    <t>2026-03-05_10-12-01_Nr_20_LampaON_Fokus_0_83_Exp_-5_CUT.png</t>
  </si>
  <si>
    <t>2026-03-05_10-12-04_Nr_20_LampaOFF_Fokus_0_83_Exp_-5_CUT.png</t>
  </si>
  <si>
    <t>2026-03-05_10-12-07_Nr_20_LampaON_Fokus_0_83_Exp_-9_CUT.png</t>
  </si>
  <si>
    <t>2026-03-05_10-12-12_Nr_20_LampaON_Fokus_0_96_Exp_-9_CUT.png</t>
  </si>
  <si>
    <t>2026-03-05_10-12-16_Nr_20_LampaOFF_Fokus_0_96_Exp_-7_CUT.png</t>
  </si>
  <si>
    <t>2026-03-05_10-12-19_Nr_20_LampaON_Fokus_0_96_Exp_-7_CUT.png</t>
  </si>
  <si>
    <t>2026-03-05_10-13-26_Nr_21_LampaON_Fokus_0_98_Exp_-7_CUT.png</t>
  </si>
  <si>
    <t>2026-03-05_10-13-28_Nr_21_LampaOFF_Fokus_0_98_Exp_-7_CUT.png</t>
  </si>
  <si>
    <t>2026-03-05_10-13-32_Nr_21_LampaOFF_Fokus_0_98_Exp_-3_CUT.png</t>
  </si>
  <si>
    <t>2026-03-05_10-13-34_Nr_21_LampaON_Fokus_0_98_Exp_-3_CUT.png</t>
  </si>
  <si>
    <t>2026-03-05_10-13-41_Nr_21_LampaON_Fokus_0_98_Exp_0_CUT.png</t>
  </si>
  <si>
    <t>2026-03-05_10-13-43_Nr_21_LampaOFF_Fokus_0_98_Exp_0_CUT.png</t>
  </si>
  <si>
    <t>2026-03-05_10-13-46_Nr_21_LampaOFF_Fokus_0_98_Exp_5_CUT.png</t>
  </si>
  <si>
    <t>2026-03-05_10-13-49_Nr_21_LampaON_Fokus_0_98_Exp_5_CUT.png</t>
  </si>
  <si>
    <t>2026-03-05_10-13-52_Nr_21_LampaON_Fokus_0_98_Exp_-7_CUT.png</t>
  </si>
  <si>
    <t>2026-03-05_10-13-56_Nr_21_LampaON_Fokus_0_94_Exp_-7_CUT.png</t>
  </si>
  <si>
    <t>2026-03-05_10-13-58_Nr_21_LampaOFF_Fokus_0_94_Exp_-7_CUT.png</t>
  </si>
  <si>
    <t>2026-03-05_10-14-06_Nr_21_LampaON_Fokus_0_94_Exp_-7_CUT.png</t>
  </si>
  <si>
    <t>2026-03-05_10-14-09_Nr_21_LampaOFF_Fokus_0_94_Exp_-7_CUT.png</t>
  </si>
  <si>
    <t>2026-03-05_10-14-11_Nr_21_LampaOFF_Fokus_0_94_Exp_-2_CUT.png</t>
  </si>
  <si>
    <t>2026-03-05_10-14-17_Nr_21_LampaON_Fokus_1_0_Exp_-2_CUT.png</t>
  </si>
  <si>
    <t>2026-03-05_10-14-21_Nr_21_LampaON_Fokus_1_0_Exp_-2_CUT.png</t>
  </si>
  <si>
    <t>2026-03-05_10-14-26_Nr_21_LampaON_Fokus_0_93_Exp_2_CUT.png</t>
  </si>
  <si>
    <t>2026-03-05_10-14-28_Nr_21_LampaOFF_Fokus_0_93_Exp_2_CUT.png</t>
  </si>
  <si>
    <t>2026-03-05_10-14-31_Nr_21_LampaOFF_Fokus_0_93_Exp_-3_CUT.png</t>
  </si>
  <si>
    <t>2026-03-05_10-14-33_Nr_21_LampaON_Fokus_0_93_Exp_-3_CUT.png</t>
  </si>
  <si>
    <t>2026-03-05_10-22-39_Nr_22_LampaON_Fokus_0_65_Exp_-3_CUT.png</t>
  </si>
  <si>
    <t>2026-03-05_10-22-42_Nr_22_LampaOFF_Fokus_0_65_Exp_-3_CUT.png</t>
  </si>
  <si>
    <t>2026-03-05_10-22-44_Nr_22_LampaOFF_Fokus_0_65_Exp_-8_CUT.png</t>
  </si>
  <si>
    <t>2026-03-05_10-22-46_Nr_22_LampaON_Fokus_0_65_Exp_-8_CUT.png</t>
  </si>
  <si>
    <t>2026-03-05_10-22-49_Nr_22_LampaON_Fokus_0_65_Exp_-12_CUT.png</t>
  </si>
  <si>
    <t>2026-03-05_10-22-51_Nr_22_LampaOFF_Fokus_0_65_Exp_-12_CUT.png</t>
  </si>
  <si>
    <t>2026-03-05_10-22-53_Nr_22_LampaOFF_Fokus_0_65_Exp_5_CUT.png</t>
  </si>
  <si>
    <t>2026-03-05_10-22-56_Nr_22_LampaON_Fokus_0_65_Exp_5_CUT.png</t>
  </si>
  <si>
    <t>2026-03-05_10-23-06_Nr_22_LampaON_Fokus_0_57_Exp_5_CUT.png</t>
  </si>
  <si>
    <t>2026-03-05_10-23-10_Nr_22_LampaOFF_Fokus_0_57_Exp_-7_CUT.png</t>
  </si>
  <si>
    <t>2026-03-05_10-23-12_Nr_22_LampaOFF_Fokus_0_57_Exp_-6_CUT.png</t>
  </si>
  <si>
    <t>2026-03-05_10-23-14_Nr_22_LampaON_Fokus_0_57_Exp_-6_CUT.png</t>
  </si>
  <si>
    <t>2026-03-05_10-23-26_Nr_22_LampaOFF_Fokus_0_59_Exp_-2_CUT.png</t>
  </si>
  <si>
    <t>2026-03-05_10-23-28_Nr_22_LampaOFF_Fokus_0_59_Exp_-4_CUT.png</t>
  </si>
  <si>
    <t>2026-03-05_10-23-30_Nr_22_LampaON_Fokus_0_59_Exp_-4_CUT.png</t>
  </si>
  <si>
    <t>2026-03-05_10-23-42_Nr_22_LampaON_Fokus_0_79_Exp_-4_CUT.png</t>
  </si>
  <si>
    <t>2026-03-05_10-23-44_Nr_22_LampaOFF_Fokus_0_79_Exp_-4_CUT.png</t>
  </si>
  <si>
    <t>2026-03-05_10-23-47_Nr_22_LampaOFF_Fokus_0_79_Exp_-7_CUT.png</t>
  </si>
  <si>
    <t>2026-03-05_10-23-50_Nr_22_LampaON_Fokus_0_79_Exp_-7_CUT.png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</si>
</sst>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6"/>
      <color rgb="FFFF0000"/>
      <name val="Calibri"/>
      <family val="2"/>
      <charset val="238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theme="0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theme="0"/>
      </bottom>
      <diagonal/>
    </border>
    <border>
      <left style="medium">
        <color auto="1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auto="1"/>
      </right>
      <top style="thin">
        <color theme="0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3" fillId="3" borderId="12" xfId="0" applyFont="1" applyFill="1" applyBorder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B162D-12BC-4EC6-8D5B-B90D1D344E89}">
  <sheetPr codeName="Arkusz3">
    <pageSetUpPr fitToPage="1"/>
  </sheetPr>
  <dimension ref="A1:C29"/>
  <sheetViews>
    <sheetView workbookViewId="0">
      <selection sqref="A1:C29"/>
    </sheetView>
  </sheetViews>
  <sheetFormatPr defaultRowHeight="14.25" x14ac:dyDescent="0.45"/>
  <cols>
    <col min="1" max="1" width="19.6640625" bestFit="1" customWidth="1"/>
    <col min="2" max="2" width="19.53125" bestFit="1" customWidth="1"/>
    <col min="3" max="3" width="28.53125" customWidth="1"/>
  </cols>
  <sheetData>
    <row r="1" spans="1:3" ht="28.5" x14ac:dyDescent="0.45">
      <c r="A1" s="5" t="s">
        <v>2</v>
      </c>
      <c r="C1" s="6" t="s">
        <v>65</v>
      </c>
    </row>
    <row r="2" spans="1:3" x14ac:dyDescent="0.45">
      <c r="A2" s="2" t="s">
        <v>20</v>
      </c>
      <c r="C2" s="2" t="s">
        <v>22</v>
      </c>
    </row>
    <row r="3" spans="1:3" ht="14.65" thickBot="1" x14ac:dyDescent="0.5">
      <c r="A3" s="3" t="s">
        <v>21</v>
      </c>
      <c r="C3" s="3" t="s">
        <v>23</v>
      </c>
    </row>
    <row r="4" spans="1:3" ht="14.65" thickBot="1" x14ac:dyDescent="0.5">
      <c r="A4" s="1"/>
    </row>
    <row r="5" spans="1:3" x14ac:dyDescent="0.45">
      <c r="A5" s="5" t="s">
        <v>3</v>
      </c>
    </row>
    <row r="6" spans="1:3" x14ac:dyDescent="0.45">
      <c r="A6" s="2" t="s">
        <v>37</v>
      </c>
    </row>
    <row r="7" spans="1:3" x14ac:dyDescent="0.45">
      <c r="A7" s="2" t="s">
        <v>38</v>
      </c>
    </row>
    <row r="8" spans="1:3" ht="14.65" thickBot="1" x14ac:dyDescent="0.5">
      <c r="A8" s="3" t="s">
        <v>39</v>
      </c>
    </row>
    <row r="9" spans="1:3" ht="14.65" thickBot="1" x14ac:dyDescent="0.5">
      <c r="A9" s="1"/>
    </row>
    <row r="10" spans="1:3" ht="14.65" thickBot="1" x14ac:dyDescent="0.5">
      <c r="A10" s="5" t="s">
        <v>4</v>
      </c>
    </row>
    <row r="11" spans="1:3" x14ac:dyDescent="0.45">
      <c r="A11" s="27" t="s">
        <v>34</v>
      </c>
      <c r="B11" s="24" t="s">
        <v>48</v>
      </c>
    </row>
    <row r="12" spans="1:3" x14ac:dyDescent="0.45">
      <c r="A12" s="27" t="s">
        <v>62</v>
      </c>
      <c r="B12" s="25" t="s">
        <v>61</v>
      </c>
    </row>
    <row r="13" spans="1:3" x14ac:dyDescent="0.45">
      <c r="A13" s="27" t="s">
        <v>64</v>
      </c>
      <c r="B13" s="25" t="s">
        <v>58</v>
      </c>
    </row>
    <row r="14" spans="1:3" x14ac:dyDescent="0.45">
      <c r="A14" s="27" t="s">
        <v>47</v>
      </c>
      <c r="B14" s="25" t="s">
        <v>55</v>
      </c>
    </row>
    <row r="15" spans="1:3" x14ac:dyDescent="0.45">
      <c r="A15" s="27" t="s">
        <v>63</v>
      </c>
      <c r="B15" s="25" t="s">
        <v>59</v>
      </c>
    </row>
    <row r="16" spans="1:3" x14ac:dyDescent="0.45">
      <c r="A16" s="27" t="s">
        <v>44</v>
      </c>
      <c r="B16" s="25" t="s">
        <v>52</v>
      </c>
    </row>
    <row r="17" spans="1:2" x14ac:dyDescent="0.45">
      <c r="A17" s="27" t="s">
        <v>46</v>
      </c>
      <c r="B17" s="25" t="s">
        <v>54</v>
      </c>
    </row>
    <row r="18" spans="1:2" x14ac:dyDescent="0.45">
      <c r="A18" s="27" t="s">
        <v>45</v>
      </c>
      <c r="B18" s="25" t="s">
        <v>53</v>
      </c>
    </row>
    <row r="19" spans="1:2" x14ac:dyDescent="0.45">
      <c r="A19" s="27" t="s">
        <v>57</v>
      </c>
      <c r="B19" s="25" t="s">
        <v>56</v>
      </c>
    </row>
    <row r="20" spans="1:2" x14ac:dyDescent="0.45">
      <c r="A20" s="27" t="s">
        <v>29</v>
      </c>
      <c r="B20" s="25" t="s">
        <v>35</v>
      </c>
    </row>
    <row r="21" spans="1:2" x14ac:dyDescent="0.45">
      <c r="A21" s="27" t="s">
        <v>43</v>
      </c>
      <c r="B21" s="25" t="s">
        <v>51</v>
      </c>
    </row>
    <row r="22" spans="1:2" x14ac:dyDescent="0.45">
      <c r="A22" s="27" t="s">
        <v>31</v>
      </c>
      <c r="B22" s="25" t="s">
        <v>49</v>
      </c>
    </row>
    <row r="23" spans="1:2" x14ac:dyDescent="0.45">
      <c r="A23" s="27" t="s">
        <v>30</v>
      </c>
      <c r="B23" s="25" t="s">
        <v>36</v>
      </c>
    </row>
    <row r="24" spans="1:2" x14ac:dyDescent="0.45">
      <c r="A24" s="27" t="s">
        <v>32</v>
      </c>
      <c r="B24" s="25" t="s">
        <v>50</v>
      </c>
    </row>
    <row r="25" spans="1:2" ht="14.65" thickBot="1" x14ac:dyDescent="0.5">
      <c r="A25" s="28" t="s">
        <v>33</v>
      </c>
      <c r="B25" s="26" t="s">
        <v>60</v>
      </c>
    </row>
    <row r="26" spans="1:2" ht="14.65" thickBot="1" x14ac:dyDescent="0.5">
      <c r="A26" s="1"/>
    </row>
    <row r="27" spans="1:2" x14ac:dyDescent="0.45">
      <c r="A27" s="5" t="s">
        <v>9</v>
      </c>
    </row>
    <row r="28" spans="1:2" x14ac:dyDescent="0.45">
      <c r="A28" s="2" t="s">
        <v>25</v>
      </c>
    </row>
    <row r="29" spans="1:2" ht="14.65" thickBot="1" x14ac:dyDescent="0.5">
      <c r="A29" s="3" t="s">
        <v>26</v>
      </c>
    </row>
  </sheetData>
  <sortState xmlns:xlrd2="http://schemas.microsoft.com/office/spreadsheetml/2017/richdata2" ref="A12:B24">
    <sortCondition ref="A12:A24"/>
  </sortState>
  <pageMargins left="0.7" right="0.7" top="0.75" bottom="0.75" header="0.3" footer="0.3"/>
  <pageSetup paperSize="9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32165-5284-4D39-84FD-B171A33F2B74}">
  <sheetPr codeName="Arkusz5"/>
  <dimension ref="A1:X28"/>
  <sheetViews>
    <sheetView workbookViewId="0">
      <selection activeCell="D23" sqref="D23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4">
        <v>1</v>
      </c>
      <c r="B1" s="34"/>
      <c r="C1" s="34"/>
      <c r="D1" s="34"/>
      <c r="E1" s="34"/>
      <c r="F1" s="34"/>
      <c r="G1" s="34"/>
      <c r="H1" s="34"/>
      <c r="I1" s="3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24</v>
      </c>
      <c r="C4" s="14" t="s">
        <v>37</v>
      </c>
      <c r="D4" s="14" t="s">
        <v>57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344030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ht="14.25" customHeight="1" x14ac:dyDescent="0.45">
      <c r="A9" s="18">
        <v>1</v>
      </c>
      <c r="B9" s="17" t="s">
        <v>67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0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ht="14.25" customHeight="1" x14ac:dyDescent="0.45">
      <c r="A10" s="18">
        <v>2</v>
      </c>
      <c r="B10" s="17" t="s">
        <v>68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0</v>
      </c>
      <c r="E10" s="16" t="str">
        <f t="shared" si="0"/>
        <v>OFF</v>
      </c>
      <c r="F10" s="16"/>
      <c r="G10" s="16"/>
      <c r="H10" s="19"/>
    </row>
    <row r="11" spans="1:24" ht="14.25" customHeight="1" x14ac:dyDescent="0.45">
      <c r="A11" s="18">
        <v>3</v>
      </c>
      <c r="B11" s="17" t="s">
        <v>69</v>
      </c>
      <c r="C11" s="16" t="str">
        <f t="shared" si="1"/>
        <v>1_0</v>
      </c>
      <c r="D11" s="16" t="str">
        <f t="shared" si="2"/>
        <v>-4</v>
      </c>
      <c r="E11" s="16" t="str">
        <f t="shared" si="0"/>
        <v>ON</v>
      </c>
      <c r="F11" s="16"/>
      <c r="G11" s="16"/>
      <c r="H11" s="19"/>
    </row>
    <row r="12" spans="1:24" ht="14.25" customHeight="1" x14ac:dyDescent="0.45">
      <c r="A12" s="18">
        <v>4</v>
      </c>
      <c r="B12" s="17" t="s">
        <v>70</v>
      </c>
      <c r="C12" s="16" t="str">
        <f t="shared" si="1"/>
        <v>1_0</v>
      </c>
      <c r="D12" s="16" t="str">
        <f t="shared" si="2"/>
        <v>-4</v>
      </c>
      <c r="E12" s="16" t="str">
        <f t="shared" si="0"/>
        <v>OFF</v>
      </c>
      <c r="F12" s="16"/>
      <c r="G12" s="16"/>
      <c r="H12" s="19"/>
    </row>
    <row r="13" spans="1:24" ht="14.25" customHeight="1" x14ac:dyDescent="0.45">
      <c r="A13" s="18">
        <v>5</v>
      </c>
      <c r="B13" s="17" t="s">
        <v>71</v>
      </c>
      <c r="C13" s="16" t="str">
        <f t="shared" si="1"/>
        <v>1_0</v>
      </c>
      <c r="D13" s="16" t="str">
        <f t="shared" si="2"/>
        <v>-7</v>
      </c>
      <c r="E13" s="16" t="str">
        <f t="shared" si="0"/>
        <v>OFF</v>
      </c>
      <c r="F13" s="16"/>
      <c r="G13" s="16"/>
      <c r="H13" s="19"/>
    </row>
    <row r="14" spans="1:24" ht="14.25" customHeight="1" x14ac:dyDescent="0.45">
      <c r="A14" s="18">
        <v>6</v>
      </c>
      <c r="B14" s="17" t="s">
        <v>72</v>
      </c>
      <c r="C14" s="16" t="str">
        <f t="shared" si="1"/>
        <v>1_0</v>
      </c>
      <c r="D14" s="16" t="str">
        <f t="shared" si="2"/>
        <v>-7</v>
      </c>
      <c r="E14" s="16" t="str">
        <f t="shared" si="0"/>
        <v>ON</v>
      </c>
      <c r="F14" s="16"/>
      <c r="G14" s="16"/>
      <c r="H14" s="19"/>
    </row>
    <row r="15" spans="1:24" ht="14.25" customHeight="1" x14ac:dyDescent="0.45">
      <c r="A15" s="18">
        <v>7</v>
      </c>
      <c r="B15" s="17" t="s">
        <v>73</v>
      </c>
      <c r="C15" s="16" t="str">
        <f t="shared" si="1"/>
        <v>1_0</v>
      </c>
      <c r="D15" s="16" t="str">
        <f t="shared" si="2"/>
        <v>-12</v>
      </c>
      <c r="E15" s="16" t="str">
        <f t="shared" si="0"/>
        <v>OFF</v>
      </c>
      <c r="F15" s="16"/>
      <c r="G15" s="16"/>
      <c r="H15" s="19"/>
    </row>
    <row r="16" spans="1:24" ht="14.25" customHeight="1" x14ac:dyDescent="0.45">
      <c r="A16" s="18">
        <v>8</v>
      </c>
      <c r="B16" s="17" t="s">
        <v>74</v>
      </c>
      <c r="C16" s="16" t="str">
        <f t="shared" si="1"/>
        <v>1_0</v>
      </c>
      <c r="D16" s="16" t="str">
        <f t="shared" si="2"/>
        <v>-1</v>
      </c>
      <c r="E16" s="16" t="str">
        <f t="shared" si="0"/>
        <v>ON</v>
      </c>
      <c r="F16" s="16"/>
      <c r="G16" s="16"/>
      <c r="H16" s="19"/>
    </row>
    <row r="17" spans="1:8" ht="14.25" customHeight="1" x14ac:dyDescent="0.45">
      <c r="A17" s="18">
        <v>9</v>
      </c>
      <c r="B17" s="17" t="s">
        <v>75</v>
      </c>
      <c r="C17" s="16" t="str">
        <f t="shared" si="1"/>
        <v>1_0</v>
      </c>
      <c r="D17" s="16" t="str">
        <f t="shared" si="2"/>
        <v>-1</v>
      </c>
      <c r="E17" s="16" t="str">
        <f t="shared" si="0"/>
        <v>OFF</v>
      </c>
      <c r="F17" s="16"/>
      <c r="G17" s="16"/>
      <c r="H17" s="19"/>
    </row>
    <row r="18" spans="1:8" ht="14.25" customHeight="1" x14ac:dyDescent="0.45">
      <c r="A18" s="18">
        <v>10</v>
      </c>
      <c r="B18" s="17" t="s">
        <v>76</v>
      </c>
      <c r="C18" s="16" t="str">
        <f t="shared" si="1"/>
        <v>1_0</v>
      </c>
      <c r="D18" s="16" t="str">
        <f t="shared" si="2"/>
        <v>-1</v>
      </c>
      <c r="E18" s="16" t="str">
        <f t="shared" si="0"/>
        <v>OFF</v>
      </c>
      <c r="F18" s="16"/>
      <c r="G18" s="16"/>
      <c r="H18" s="19"/>
    </row>
    <row r="19" spans="1:8" ht="14.25" customHeight="1" x14ac:dyDescent="0.45">
      <c r="A19" s="18">
        <v>11</v>
      </c>
      <c r="B19" s="17" t="s">
        <v>77</v>
      </c>
      <c r="C19" s="16" t="str">
        <f t="shared" si="1"/>
        <v>1_0</v>
      </c>
      <c r="D19" s="16" t="str">
        <f t="shared" si="2"/>
        <v>-1</v>
      </c>
      <c r="E19" s="16" t="str">
        <f t="shared" si="0"/>
        <v>ON</v>
      </c>
      <c r="F19" s="16"/>
      <c r="G19" s="16"/>
      <c r="H19" s="19"/>
    </row>
    <row r="20" spans="1:8" ht="14.25" customHeight="1" x14ac:dyDescent="0.45">
      <c r="A20" s="18">
        <v>12</v>
      </c>
      <c r="B20" s="17" t="s">
        <v>78</v>
      </c>
      <c r="C20" s="16" t="str">
        <f t="shared" si="1"/>
        <v>1_0</v>
      </c>
      <c r="D20" s="16" t="str">
        <f t="shared" si="2"/>
        <v>-1</v>
      </c>
      <c r="E20" s="16" t="str">
        <f t="shared" si="0"/>
        <v>ON</v>
      </c>
      <c r="F20" s="16"/>
      <c r="G20" s="16"/>
      <c r="H20" s="19"/>
    </row>
    <row r="21" spans="1:8" ht="14.25" customHeight="1" x14ac:dyDescent="0.45">
      <c r="A21" s="18">
        <v>13</v>
      </c>
      <c r="B21" s="17" t="s">
        <v>79</v>
      </c>
      <c r="C21" s="16" t="str">
        <f t="shared" si="1"/>
        <v>1_0</v>
      </c>
      <c r="D21" s="16" t="str">
        <f t="shared" si="2"/>
        <v>-1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/>
      <c r="C22" s="16" t="str">
        <f t="shared" si="1"/>
        <v/>
      </c>
      <c r="D22" s="16" t="str">
        <f t="shared" si="2"/>
        <v/>
      </c>
      <c r="E22" s="16" t="str">
        <f>IF(B22="","",IF(ISERROR(FIND("LampaON",B22)),"OFF","ON"))</f>
        <v/>
      </c>
      <c r="F22" s="16"/>
      <c r="G22" s="16"/>
      <c r="H22" s="19"/>
    </row>
    <row r="23" spans="1:8" x14ac:dyDescent="0.45">
      <c r="A23" s="18">
        <v>15</v>
      </c>
      <c r="B23" s="17"/>
      <c r="C23" s="16" t="str">
        <f t="shared" si="1"/>
        <v/>
      </c>
      <c r="D23" s="16" t="str">
        <f t="shared" si="2"/>
        <v/>
      </c>
      <c r="E23" s="16" t="str">
        <f t="shared" ref="E23:E28" si="3">IF(B23="","",IF(ISERROR(FIND("LampaON",B23)),"OFF","ON"))</f>
        <v/>
      </c>
      <c r="F23" s="16"/>
      <c r="G23" s="16"/>
      <c r="H23" s="19"/>
    </row>
    <row r="24" spans="1:8" x14ac:dyDescent="0.45">
      <c r="A24" s="18">
        <v>16</v>
      </c>
      <c r="B24" s="17"/>
      <c r="C24" s="16" t="str">
        <f t="shared" si="1"/>
        <v/>
      </c>
      <c r="D24" s="16" t="str">
        <f t="shared" si="2"/>
        <v/>
      </c>
      <c r="E24" s="16" t="str">
        <f t="shared" si="3"/>
        <v/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6:H6"/>
    <mergeCell ref="A1:I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C594C3-8B02-40DF-AC2F-9516B9C2E9D2}">
          <x14:formula1>
            <xm:f>Dane!$A$2:$A$3</xm:f>
          </x14:formula1>
          <xm:sqref>A4</xm:sqref>
        </x14:dataValidation>
        <x14:dataValidation type="list" allowBlank="1" showInputMessage="1" showErrorMessage="1" xr:uid="{2465DF60-932B-460D-B331-002C78C55015}">
          <x14:formula1>
            <xm:f>Dane!$A$6:$A$8</xm:f>
          </x14:formula1>
          <xm:sqref>C4</xm:sqref>
        </x14:dataValidation>
        <x14:dataValidation type="list" allowBlank="1" showInputMessage="1" showErrorMessage="1" xr:uid="{304FF872-9C66-4273-AFF2-CF900621396B}">
          <x14:formula1>
            <xm:f>Dane!$A$11:$A$25</xm:f>
          </x14:formula1>
          <xm:sqref>D4</xm:sqref>
        </x14:dataValidation>
        <x14:dataValidation type="list" allowBlank="1" showInputMessage="1" showErrorMessage="1" xr:uid="{636A44BD-D226-407B-9217-8FD6C7910E7F}">
          <x14:formula1>
            <xm:f>Dane!$C$2:$C$3</xm:f>
          </x14:formula1>
          <xm:sqref>E4:H4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BAEB6-FFDD-4193-A16B-1DFAB1CDE54A}">
  <sheetPr codeName="Arkusz6"/>
  <dimension ref="A1:X28"/>
  <sheetViews>
    <sheetView workbookViewId="0">
      <selection activeCell="D9" sqref="D9:D28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2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20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360737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80</v>
      </c>
      <c r="C9" s="16" t="str">
        <f>IF(B9="","",_xlfn.TEXTAFTER(_xlfn.TEXTBEFORE(B9,"_Exp"),"Fokus_"))</f>
        <v>0_68</v>
      </c>
      <c r="D9" s="16" t="str">
        <f>IF(B9="","",SUBSTITUTE(LEFT(_xlfn.TEXTAFTER(B9,"_Exp_"),FIND(".",_xlfn.TEXTAFTER(B9,"_Exp_"))-1),"_CUT",""))</f>
        <v>0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81</v>
      </c>
      <c r="C10" s="16" t="str">
        <f t="shared" ref="C10:C28" si="1">IF(B10="","",_xlfn.TEXTAFTER(_xlfn.TEXTBEFORE(B10,"_Exp"),"Fokus_"))</f>
        <v>0_68</v>
      </c>
      <c r="D10" s="16" t="str">
        <f t="shared" ref="D10:D28" si="2">IF(B10="","",SUBSTITUTE(LEFT(_xlfn.TEXTAFTER(B10,"_Exp_"),FIND(".",_xlfn.TEXTAFTER(B10,"_Exp_"))-1),"_CUT",""))</f>
        <v>0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82</v>
      </c>
      <c r="C11" s="16" t="str">
        <f t="shared" si="1"/>
        <v>0_71</v>
      </c>
      <c r="D11" s="16" t="str">
        <f t="shared" si="2"/>
        <v>-3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83</v>
      </c>
      <c r="C12" s="16" t="str">
        <f t="shared" si="1"/>
        <v>0_71</v>
      </c>
      <c r="D12" s="16" t="str">
        <f t="shared" si="2"/>
        <v>-3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84</v>
      </c>
      <c r="C13" s="16" t="str">
        <f t="shared" si="1"/>
        <v>0_71</v>
      </c>
      <c r="D13" s="16" t="str">
        <f t="shared" si="2"/>
        <v>-3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85</v>
      </c>
      <c r="C14" s="16" t="str">
        <f t="shared" si="1"/>
        <v>0_71</v>
      </c>
      <c r="D14" s="16" t="str">
        <f t="shared" si="2"/>
        <v>-3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86</v>
      </c>
      <c r="C15" s="16" t="str">
        <f t="shared" si="1"/>
        <v>0_71</v>
      </c>
      <c r="D15" s="16" t="str">
        <f t="shared" si="2"/>
        <v>-3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87</v>
      </c>
      <c r="C16" s="16" t="str">
        <f t="shared" si="1"/>
        <v>0_71</v>
      </c>
      <c r="D16" s="16" t="str">
        <f t="shared" si="2"/>
        <v>0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88</v>
      </c>
      <c r="C17" s="16" t="str">
        <f t="shared" si="1"/>
        <v>0_74</v>
      </c>
      <c r="D17" s="16" t="str">
        <f t="shared" si="2"/>
        <v>0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89</v>
      </c>
      <c r="C18" s="16" t="str">
        <f t="shared" si="1"/>
        <v>0_74</v>
      </c>
      <c r="D18" s="16" t="str">
        <f t="shared" si="2"/>
        <v>0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90</v>
      </c>
      <c r="C19" s="16" t="str">
        <f t="shared" si="1"/>
        <v>0_78</v>
      </c>
      <c r="D19" s="16" t="str">
        <f t="shared" si="2"/>
        <v>-4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91</v>
      </c>
      <c r="C20" s="16" t="str">
        <f t="shared" si="1"/>
        <v>0_78</v>
      </c>
      <c r="D20" s="16" t="str">
        <f t="shared" si="2"/>
        <v>-4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92</v>
      </c>
      <c r="C21" s="16" t="str">
        <f t="shared" si="1"/>
        <v>0_77</v>
      </c>
      <c r="D21" s="16" t="str">
        <f t="shared" si="2"/>
        <v>6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93</v>
      </c>
      <c r="C22" s="16" t="str">
        <f t="shared" si="1"/>
        <v>0_77</v>
      </c>
      <c r="D22" s="16" t="str">
        <f t="shared" si="2"/>
        <v>6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94</v>
      </c>
      <c r="C23" s="16" t="str">
        <f t="shared" si="1"/>
        <v>0_79</v>
      </c>
      <c r="D23" s="16" t="str">
        <f t="shared" si="2"/>
        <v>1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95</v>
      </c>
      <c r="C24" s="16" t="str">
        <f t="shared" si="1"/>
        <v>0_79</v>
      </c>
      <c r="D24" s="16" t="str">
        <f t="shared" si="2"/>
        <v>1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1A85943-4B1D-421E-8963-813A1612C1BC}">
          <x14:formula1>
            <xm:f>Dane!$C$2:$C$3</xm:f>
          </x14:formula1>
          <xm:sqref>E4:H4</xm:sqref>
        </x14:dataValidation>
        <x14:dataValidation type="list" allowBlank="1" showInputMessage="1" showErrorMessage="1" xr:uid="{DA6F05D6-1189-416B-A005-43AD484D2ACD}">
          <x14:formula1>
            <xm:f>Dane!$A$11:$A$25</xm:f>
          </x14:formula1>
          <xm:sqref>D4</xm:sqref>
        </x14:dataValidation>
        <x14:dataValidation type="list" allowBlank="1" showInputMessage="1" showErrorMessage="1" xr:uid="{EF30619E-5E6B-4207-9BCA-BA9187256294}">
          <x14:formula1>
            <xm:f>Dane!$A$6:$A$8</xm:f>
          </x14:formula1>
          <xm:sqref>C4</xm:sqref>
        </x14:dataValidation>
        <x14:dataValidation type="list" allowBlank="1" showInputMessage="1" showErrorMessage="1" xr:uid="{292DB1FD-6120-4E2F-B2C8-DC1F4283A451}">
          <x14:formula1>
            <xm:f>Dane!$A$2:$A$3</xm:f>
          </x14:formula1>
          <xm:sqref>A4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CB8F3-22E9-4AD6-9A09-564FE5821016}">
  <sheetPr codeName="Arkusz7"/>
  <dimension ref="A1:X28"/>
  <sheetViews>
    <sheetView workbookViewId="0">
      <selection activeCell="D9" sqref="D9:D28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3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21</v>
      </c>
      <c r="C4" s="14" t="s">
        <v>37</v>
      </c>
      <c r="D4" s="14" t="s">
        <v>57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361057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96</v>
      </c>
      <c r="C9" s="16" t="str">
        <f>IF(B9="","",_xlfn.TEXTAFTER(_xlfn.TEXTBEFORE(B9,"_Exp"),"Fokus_"))</f>
        <v>0_91</v>
      </c>
      <c r="D9" s="16" t="str">
        <f>IF(B9="","",SUBSTITUTE(LEFT(_xlfn.TEXTAFTER(B9,"_Exp_"),FIND(".",_xlfn.TEXTAFTER(B9,"_Exp_"))-1),"_CUT",""))</f>
        <v>1</v>
      </c>
      <c r="E9" s="16" t="str">
        <f t="shared" ref="E9:E16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97</v>
      </c>
      <c r="C10" s="16" t="str">
        <f t="shared" ref="C10:C28" si="1">IF(B10="","",_xlfn.TEXTAFTER(_xlfn.TEXTBEFORE(B10,"_Exp"),"Fokus_"))</f>
        <v>0_91</v>
      </c>
      <c r="D10" s="16" t="str">
        <f t="shared" ref="D10:D28" si="2">IF(B10="","",SUBSTITUTE(LEFT(_xlfn.TEXTAFTER(B10,"_Exp_"),FIND(".",_xlfn.TEXTAFTER(B10,"_Exp_"))-1),"_CUT",""))</f>
        <v>1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98</v>
      </c>
      <c r="C11" s="16" t="str">
        <f t="shared" si="1"/>
        <v>0_86</v>
      </c>
      <c r="D11" s="16" t="str">
        <f t="shared" si="2"/>
        <v>1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99</v>
      </c>
      <c r="C12" s="16" t="str">
        <f t="shared" si="1"/>
        <v>0_77</v>
      </c>
      <c r="D12" s="16" t="str">
        <f t="shared" si="2"/>
        <v>1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100</v>
      </c>
      <c r="C13" s="16" t="str">
        <f t="shared" si="1"/>
        <v>0_74</v>
      </c>
      <c r="D13" s="16" t="str">
        <f t="shared" si="2"/>
        <v>1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101</v>
      </c>
      <c r="C14" s="16" t="str">
        <f t="shared" si="1"/>
        <v>0_74</v>
      </c>
      <c r="D14" s="16" t="str">
        <f t="shared" si="2"/>
        <v>-2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102</v>
      </c>
      <c r="C15" s="16" t="str">
        <f t="shared" si="1"/>
        <v>0_89</v>
      </c>
      <c r="D15" s="16" t="str">
        <f t="shared" si="2"/>
        <v>-2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103</v>
      </c>
      <c r="C16" s="16" t="str">
        <f t="shared" si="1"/>
        <v>0_89</v>
      </c>
      <c r="D16" s="16" t="str">
        <f t="shared" si="2"/>
        <v>-5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104</v>
      </c>
      <c r="C17" s="16" t="str">
        <f t="shared" ref="C17:C24" si="3">IF(B17="","",_xlfn.TEXTAFTER(_xlfn.TEXTBEFORE(B17,"_Exp"),"Fokus_"))</f>
        <v>0_81</v>
      </c>
      <c r="D17" s="16" t="str">
        <f t="shared" si="2"/>
        <v>-4</v>
      </c>
      <c r="E17" s="16" t="str">
        <f t="shared" ref="E17:E24" si="4">IF(B17="","",IF(ISERROR(FIND("LampaON",B17)),"OFF","ON"))</f>
        <v>OFF</v>
      </c>
      <c r="F17" s="16"/>
      <c r="G17" s="16"/>
      <c r="H17" s="19"/>
    </row>
    <row r="18" spans="1:8" x14ac:dyDescent="0.45">
      <c r="A18" s="18">
        <v>10</v>
      </c>
      <c r="B18" s="17" t="s">
        <v>105</v>
      </c>
      <c r="C18" s="16" t="str">
        <f t="shared" si="3"/>
        <v>0_79</v>
      </c>
      <c r="D18" s="16" t="str">
        <f t="shared" si="2"/>
        <v>-4</v>
      </c>
      <c r="E18" s="16" t="str">
        <f t="shared" si="4"/>
        <v>ON</v>
      </c>
      <c r="F18" s="16"/>
      <c r="G18" s="16"/>
      <c r="H18" s="19"/>
    </row>
    <row r="19" spans="1:8" x14ac:dyDescent="0.45">
      <c r="A19" s="18">
        <v>11</v>
      </c>
      <c r="B19" s="17" t="s">
        <v>106</v>
      </c>
      <c r="C19" s="16" t="str">
        <f t="shared" si="3"/>
        <v>0_85</v>
      </c>
      <c r="D19" s="16" t="str">
        <f t="shared" si="2"/>
        <v>-4</v>
      </c>
      <c r="E19" s="16" t="str">
        <f t="shared" si="4"/>
        <v>ON</v>
      </c>
      <c r="F19" s="16"/>
      <c r="G19" s="16"/>
      <c r="H19" s="19"/>
    </row>
    <row r="20" spans="1:8" x14ac:dyDescent="0.45">
      <c r="A20" s="18">
        <v>12</v>
      </c>
      <c r="B20" s="17" t="s">
        <v>107</v>
      </c>
      <c r="C20" s="16" t="str">
        <f t="shared" si="3"/>
        <v>0_85</v>
      </c>
      <c r="D20" s="16" t="str">
        <f t="shared" si="2"/>
        <v>-2</v>
      </c>
      <c r="E20" s="16" t="str">
        <f t="shared" si="4"/>
        <v>ON</v>
      </c>
      <c r="F20" s="16"/>
      <c r="G20" s="16"/>
      <c r="H20" s="19"/>
    </row>
    <row r="21" spans="1:8" x14ac:dyDescent="0.45">
      <c r="A21" s="18">
        <v>13</v>
      </c>
      <c r="B21" s="17" t="s">
        <v>108</v>
      </c>
      <c r="C21" s="16" t="str">
        <f t="shared" si="3"/>
        <v>0_85</v>
      </c>
      <c r="D21" s="16" t="str">
        <f t="shared" si="2"/>
        <v>3</v>
      </c>
      <c r="E21" s="16" t="str">
        <f t="shared" si="4"/>
        <v>OFF</v>
      </c>
      <c r="F21" s="16"/>
      <c r="G21" s="16"/>
      <c r="H21" s="19"/>
    </row>
    <row r="22" spans="1:8" x14ac:dyDescent="0.45">
      <c r="A22" s="18">
        <v>14</v>
      </c>
      <c r="B22" s="17" t="s">
        <v>109</v>
      </c>
      <c r="C22" s="16" t="str">
        <f t="shared" si="3"/>
        <v>0_78</v>
      </c>
      <c r="D22" s="16" t="str">
        <f t="shared" si="2"/>
        <v>3</v>
      </c>
      <c r="E22" s="16" t="str">
        <f t="shared" si="4"/>
        <v>OFF</v>
      </c>
      <c r="F22" s="16"/>
      <c r="G22" s="16"/>
      <c r="H22" s="19"/>
    </row>
    <row r="23" spans="1:8" x14ac:dyDescent="0.45">
      <c r="A23" s="18">
        <v>15</v>
      </c>
      <c r="B23" s="17" t="s">
        <v>110</v>
      </c>
      <c r="C23" s="16" t="str">
        <f t="shared" si="3"/>
        <v>0_78</v>
      </c>
      <c r="D23" s="16" t="str">
        <f t="shared" si="2"/>
        <v>-4</v>
      </c>
      <c r="E23" s="16" t="str">
        <f t="shared" si="4"/>
        <v>ON</v>
      </c>
      <c r="F23" s="16"/>
      <c r="G23" s="16"/>
      <c r="H23" s="19"/>
    </row>
    <row r="24" spans="1:8" x14ac:dyDescent="0.45">
      <c r="A24" s="18">
        <v>16</v>
      </c>
      <c r="B24" s="17"/>
      <c r="C24" s="16" t="str">
        <f t="shared" si="3"/>
        <v/>
      </c>
      <c r="D24" s="16" t="str">
        <f t="shared" si="2"/>
        <v/>
      </c>
      <c r="E24" s="16" t="str">
        <f t="shared" si="4"/>
        <v/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ref="E25:E28" si="5">IF(B25="","",IF(ISERROR(FIND("LampaON",B25)),"OFF","ON"))</f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5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5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5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BE3CCCD-6BDB-46EA-B9C9-EAC936C8843E}">
          <x14:formula1>
            <xm:f>Dane!$A$2:$A$3</xm:f>
          </x14:formula1>
          <xm:sqref>A4</xm:sqref>
        </x14:dataValidation>
        <x14:dataValidation type="list" allowBlank="1" showInputMessage="1" showErrorMessage="1" xr:uid="{39BB52CF-D45A-4EB0-8FDB-7EFDFC9C0C52}">
          <x14:formula1>
            <xm:f>Dane!$A$6:$A$8</xm:f>
          </x14:formula1>
          <xm:sqref>C4</xm:sqref>
        </x14:dataValidation>
        <x14:dataValidation type="list" allowBlank="1" showInputMessage="1" showErrorMessage="1" xr:uid="{C44EF9B5-072F-4B8A-A4B7-1AC6518CD9AF}">
          <x14:formula1>
            <xm:f>Dane!$A$11:$A$25</xm:f>
          </x14:formula1>
          <xm:sqref>D4</xm:sqref>
        </x14:dataValidation>
        <x14:dataValidation type="list" allowBlank="1" showInputMessage="1" showErrorMessage="1" xr:uid="{98B2E9F0-9E49-491B-8F58-01D331D468DA}">
          <x14:formula1>
            <xm:f>Dane!$C$2:$C$3</xm:f>
          </x14:formula1>
          <xm:sqref>E4:H4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E007D-1CA9-4F67-A483-5685290B5261}">
  <sheetPr codeName="Arkusz8"/>
  <dimension ref="A1:X28"/>
  <sheetViews>
    <sheetView workbookViewId="0">
      <selection activeCell="D9" sqref="D9:D28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4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20</v>
      </c>
      <c r="C4" s="14" t="s">
        <v>37</v>
      </c>
      <c r="D4" s="14" t="s">
        <v>45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362978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111</v>
      </c>
      <c r="C9" s="16" t="str">
        <f>IF(B9="","",_xlfn.TEXTAFTER(_xlfn.TEXTBEFORE(B9,"_Exp"),"Fokus_"))</f>
        <v>0_93</v>
      </c>
      <c r="D9" s="16" t="str">
        <f>IF(B9="","",SUBSTITUTE(LEFT(_xlfn.TEXTAFTER(B9,"_Exp_"),FIND(".",_xlfn.TEXTAFTER(B9,"_Exp_"))-1),"_CUT",""))</f>
        <v>-1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112</v>
      </c>
      <c r="C10" s="16" t="str">
        <f t="shared" ref="C10:C28" si="1">IF(B10="","",_xlfn.TEXTAFTER(_xlfn.TEXTBEFORE(B10,"_Exp"),"Fokus_"))</f>
        <v>0_93</v>
      </c>
      <c r="D10" s="16" t="str">
        <f t="shared" ref="D10:D28" si="2">IF(B10="","",SUBSTITUTE(LEFT(_xlfn.TEXTAFTER(B10,"_Exp_"),FIND(".",_xlfn.TEXTAFTER(B10,"_Exp_"))-1),"_CUT",""))</f>
        <v>-6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113</v>
      </c>
      <c r="C11" s="16" t="str">
        <f t="shared" si="1"/>
        <v>0_89</v>
      </c>
      <c r="D11" s="16" t="str">
        <f t="shared" si="2"/>
        <v>-6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114</v>
      </c>
      <c r="C12" s="16" t="str">
        <f t="shared" si="1"/>
        <v>0_89</v>
      </c>
      <c r="D12" s="16" t="str">
        <f t="shared" si="2"/>
        <v>-6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115</v>
      </c>
      <c r="C13" s="16" t="str">
        <f t="shared" si="1"/>
        <v>0_89</v>
      </c>
      <c r="D13" s="16" t="str">
        <f t="shared" si="2"/>
        <v>-2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116</v>
      </c>
      <c r="C14" s="16" t="str">
        <f t="shared" si="1"/>
        <v>0_91</v>
      </c>
      <c r="D14" s="16" t="str">
        <f t="shared" si="2"/>
        <v>-2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117</v>
      </c>
      <c r="C15" s="16" t="str">
        <f t="shared" si="1"/>
        <v>0_91</v>
      </c>
      <c r="D15" s="16" t="str">
        <f t="shared" si="2"/>
        <v>-3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118</v>
      </c>
      <c r="C16" s="16" t="str">
        <f t="shared" si="1"/>
        <v>0_91</v>
      </c>
      <c r="D16" s="16" t="str">
        <f t="shared" si="2"/>
        <v>-3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119</v>
      </c>
      <c r="C17" s="16" t="str">
        <f t="shared" si="1"/>
        <v>0_87</v>
      </c>
      <c r="D17" s="16" t="str">
        <f t="shared" si="2"/>
        <v>-3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120</v>
      </c>
      <c r="C18" s="16" t="str">
        <f t="shared" si="1"/>
        <v>0_85</v>
      </c>
      <c r="D18" s="16" t="str">
        <f t="shared" si="2"/>
        <v>-3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121</v>
      </c>
      <c r="C19" s="16" t="str">
        <f t="shared" si="1"/>
        <v>0_85</v>
      </c>
      <c r="D19" s="16" t="str">
        <f t="shared" si="2"/>
        <v>0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122</v>
      </c>
      <c r="C20" s="16" t="str">
        <f t="shared" si="1"/>
        <v>0_85</v>
      </c>
      <c r="D20" s="16" t="str">
        <f t="shared" si="2"/>
        <v>0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123</v>
      </c>
      <c r="C21" s="16" t="str">
        <f t="shared" si="1"/>
        <v>0_95</v>
      </c>
      <c r="D21" s="16" t="str">
        <f t="shared" si="2"/>
        <v>0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124</v>
      </c>
      <c r="C22" s="16" t="str">
        <f t="shared" si="1"/>
        <v>0_95</v>
      </c>
      <c r="D22" s="16" t="str">
        <f t="shared" si="2"/>
        <v>5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125</v>
      </c>
      <c r="C23" s="16" t="str">
        <f t="shared" si="1"/>
        <v>0_97</v>
      </c>
      <c r="D23" s="16" t="str">
        <f t="shared" si="2"/>
        <v>-4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/>
      <c r="C24" s="16"/>
      <c r="D24" s="16" t="str">
        <f t="shared" si="2"/>
        <v/>
      </c>
      <c r="E24" s="16"/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949CD4F-6E8E-4959-B44B-A300BC402C06}">
          <x14:formula1>
            <xm:f>Dane!$C$2:$C$3</xm:f>
          </x14:formula1>
          <xm:sqref>E4:H4</xm:sqref>
        </x14:dataValidation>
        <x14:dataValidation type="list" allowBlank="1" showInputMessage="1" showErrorMessage="1" xr:uid="{15946856-BBD1-491E-A83D-DDEFD671C208}">
          <x14:formula1>
            <xm:f>Dane!$A$11:$A$25</xm:f>
          </x14:formula1>
          <xm:sqref>D4</xm:sqref>
        </x14:dataValidation>
        <x14:dataValidation type="list" allowBlank="1" showInputMessage="1" showErrorMessage="1" xr:uid="{34626CCA-6C3A-4ABC-B1A1-D65FC95B2619}">
          <x14:formula1>
            <xm:f>Dane!$A$6:$A$8</xm:f>
          </x14:formula1>
          <xm:sqref>C4</xm:sqref>
        </x14:dataValidation>
        <x14:dataValidation type="list" allowBlank="1" showInputMessage="1" showErrorMessage="1" xr:uid="{35267700-4738-48B2-8364-30F3AF1C7689}">
          <x14:formula1>
            <xm:f>Dane!$A$2:$A$3</xm:f>
          </x14:formula1>
          <xm:sqref>A4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AA34-9D40-4436-AE1D-E60F0B8AADD3}">
  <sheetPr codeName="Arkusz9"/>
  <dimension ref="A1:X28"/>
  <sheetViews>
    <sheetView workbookViewId="0">
      <selection activeCell="B9" sqref="B9:B22"/>
    </sheetView>
  </sheetViews>
  <sheetFormatPr defaultRowHeight="14.25" x14ac:dyDescent="0.45"/>
  <cols>
    <col min="1" max="1" width="7.265625" style="1" customWidth="1"/>
    <col min="2" max="2" width="56.33203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5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19</v>
      </c>
      <c r="C4" s="14" t="s">
        <v>37</v>
      </c>
      <c r="D4" s="14" t="s">
        <v>45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360798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126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-3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127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-5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128</v>
      </c>
      <c r="C11" s="16" t="str">
        <f t="shared" si="1"/>
        <v>1_0</v>
      </c>
      <c r="D11" s="16" t="str">
        <f t="shared" si="2"/>
        <v>-5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129</v>
      </c>
      <c r="C12" s="16" t="str">
        <f t="shared" si="1"/>
        <v>1_0</v>
      </c>
      <c r="D12" s="16" t="str">
        <f t="shared" si="2"/>
        <v>-2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130</v>
      </c>
      <c r="C13" s="16" t="str">
        <f t="shared" si="1"/>
        <v>1_0</v>
      </c>
      <c r="D13" s="16" t="str">
        <f t="shared" si="2"/>
        <v>-2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131</v>
      </c>
      <c r="C14" s="16" t="str">
        <f t="shared" si="1"/>
        <v>1_0</v>
      </c>
      <c r="D14" s="16" t="str">
        <f t="shared" si="2"/>
        <v>-2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132</v>
      </c>
      <c r="C15" s="16" t="str">
        <f t="shared" si="1"/>
        <v>1_0</v>
      </c>
      <c r="D15" s="16" t="str">
        <f t="shared" si="2"/>
        <v>-4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133</v>
      </c>
      <c r="C16" s="16" t="str">
        <f t="shared" si="1"/>
        <v>1_0</v>
      </c>
      <c r="D16" s="16" t="str">
        <f t="shared" si="2"/>
        <v>3</v>
      </c>
      <c r="E16" s="16" t="str">
        <f t="shared" si="0"/>
        <v>OFF</v>
      </c>
      <c r="F16" s="16"/>
      <c r="G16" s="16"/>
      <c r="H16" s="19"/>
    </row>
    <row r="17" spans="1:8" x14ac:dyDescent="0.45">
      <c r="A17" s="18">
        <v>9</v>
      </c>
      <c r="B17" s="17" t="s">
        <v>134</v>
      </c>
      <c r="C17" s="16" t="str">
        <f t="shared" si="1"/>
        <v>0_98</v>
      </c>
      <c r="D17" s="16" t="str">
        <f t="shared" si="2"/>
        <v>-3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135</v>
      </c>
      <c r="C18" s="16" t="str">
        <f t="shared" si="1"/>
        <v>0_98</v>
      </c>
      <c r="D18" s="16" t="str">
        <f t="shared" si="2"/>
        <v>2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136</v>
      </c>
      <c r="C19" s="16" t="str">
        <f t="shared" si="1"/>
        <v>1_0</v>
      </c>
      <c r="D19" s="16" t="str">
        <f t="shared" si="2"/>
        <v>-1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137</v>
      </c>
      <c r="C20" s="16" t="str">
        <f t="shared" si="1"/>
        <v>1_0</v>
      </c>
      <c r="D20" s="16" t="str">
        <f t="shared" si="2"/>
        <v>-3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138</v>
      </c>
      <c r="C21" s="16" t="str">
        <f t="shared" si="1"/>
        <v>0_99</v>
      </c>
      <c r="D21" s="16" t="str">
        <f t="shared" si="2"/>
        <v>-3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139</v>
      </c>
      <c r="C22" s="16" t="str">
        <f t="shared" si="1"/>
        <v>1_0</v>
      </c>
      <c r="D22" s="16" t="str">
        <f t="shared" si="2"/>
        <v>-3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/>
      <c r="C23" s="16" t="str">
        <f t="shared" si="1"/>
        <v/>
      </c>
      <c r="D23" s="16" t="str">
        <f t="shared" si="2"/>
        <v/>
      </c>
      <c r="E23" s="16" t="str">
        <f t="shared" ref="E23:E28" si="3">IF(B23="","",IF(ISERROR(FIND("LampaON",B23)),"OFF","ON"))</f>
        <v/>
      </c>
      <c r="F23" s="16"/>
      <c r="G23" s="16"/>
      <c r="H23" s="19"/>
    </row>
    <row r="24" spans="1:8" x14ac:dyDescent="0.45">
      <c r="A24" s="18">
        <v>16</v>
      </c>
      <c r="B24" s="17"/>
      <c r="C24" s="16" t="str">
        <f t="shared" si="1"/>
        <v/>
      </c>
      <c r="D24" s="16" t="str">
        <f t="shared" si="2"/>
        <v/>
      </c>
      <c r="E24" s="16" t="str">
        <f t="shared" si="3"/>
        <v/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57D9D09-442E-4767-ACF7-C877E6DD4937}">
          <x14:formula1>
            <xm:f>Dane!$C$2:$C$3</xm:f>
          </x14:formula1>
          <xm:sqref>E4:H4</xm:sqref>
        </x14:dataValidation>
        <x14:dataValidation type="list" allowBlank="1" showInputMessage="1" showErrorMessage="1" xr:uid="{2D0B1AB7-5B02-4182-93CB-7677CC4742AA}">
          <x14:formula1>
            <xm:f>Dane!$A$11:$A$25</xm:f>
          </x14:formula1>
          <xm:sqref>D4</xm:sqref>
        </x14:dataValidation>
        <x14:dataValidation type="list" allowBlank="1" showInputMessage="1" showErrorMessage="1" xr:uid="{C0BF4485-7213-45D8-A9CE-2E78A2A80B08}">
          <x14:formula1>
            <xm:f>Dane!$A$6:$A$8</xm:f>
          </x14:formula1>
          <xm:sqref>C4</xm:sqref>
        </x14:dataValidation>
        <x14:dataValidation type="list" allowBlank="1" showInputMessage="1" showErrorMessage="1" xr:uid="{D58ED151-7378-47AF-BCBB-00BF0BCED98C}">
          <x14:formula1>
            <xm:f>Dane!$A$2:$A$3</xm:f>
          </x14:formula1>
          <xm:sqref>A4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4CB2D-60D7-4E24-BD20-A54EB1940BEF}">
  <sheetPr codeName="Arkusz10"/>
  <dimension ref="A1:X28"/>
  <sheetViews>
    <sheetView workbookViewId="0">
      <selection activeCell="D4" sqref="D4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6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362598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140</v>
      </c>
      <c r="C9" s="16" t="str">
        <f>IF(B9="","",_xlfn.TEXTAFTER(_xlfn.TEXTBEFORE(B9,"_Exp"),"Fokus_"))</f>
        <v>0_88</v>
      </c>
      <c r="D9" s="16" t="str">
        <f>IF(B9="","",SUBSTITUTE(LEFT(_xlfn.TEXTAFTER(B9,"_Exp_"),FIND(".",_xlfn.TEXTAFTER(B9,"_Exp_"))-1),"_CUT",""))</f>
        <v>-3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141</v>
      </c>
      <c r="C10" s="16" t="str">
        <f t="shared" ref="C10:C28" si="1">IF(B10="","",_xlfn.TEXTAFTER(_xlfn.TEXTBEFORE(B10,"_Exp"),"Fokus_"))</f>
        <v>0_88</v>
      </c>
      <c r="D10" s="16" t="str">
        <f t="shared" ref="D10:D28" si="2">IF(B10="","",SUBSTITUTE(LEFT(_xlfn.TEXTAFTER(B10,"_Exp_"),FIND(".",_xlfn.TEXTAFTER(B10,"_Exp_"))-1),"_CUT",""))</f>
        <v>-8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142</v>
      </c>
      <c r="C11" s="16" t="str">
        <f t="shared" si="1"/>
        <v>0_88</v>
      </c>
      <c r="D11" s="16" t="str">
        <f t="shared" si="2"/>
        <v>-8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143</v>
      </c>
      <c r="C12" s="16" t="str">
        <f t="shared" si="1"/>
        <v>0_78</v>
      </c>
      <c r="D12" s="16" t="str">
        <f t="shared" si="2"/>
        <v>-4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144</v>
      </c>
      <c r="C13" s="16" t="str">
        <f t="shared" si="1"/>
        <v>0_78</v>
      </c>
      <c r="D13" s="16" t="str">
        <f t="shared" si="2"/>
        <v>-4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145</v>
      </c>
      <c r="C14" s="16" t="str">
        <f t="shared" si="1"/>
        <v>0_76</v>
      </c>
      <c r="D14" s="16" t="str">
        <f t="shared" si="2"/>
        <v>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146</v>
      </c>
      <c r="C15" s="16" t="str">
        <f t="shared" si="1"/>
        <v>0_76</v>
      </c>
      <c r="D15" s="16" t="str">
        <f t="shared" si="2"/>
        <v>2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147</v>
      </c>
      <c r="C16" s="16" t="str">
        <f t="shared" si="1"/>
        <v>0_76</v>
      </c>
      <c r="D16" s="16" t="str">
        <f t="shared" si="2"/>
        <v>-4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148</v>
      </c>
      <c r="C17" s="16" t="str">
        <f t="shared" si="1"/>
        <v>0_73</v>
      </c>
      <c r="D17" s="16" t="str">
        <f t="shared" si="2"/>
        <v>-4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149</v>
      </c>
      <c r="C18" s="16" t="str">
        <f t="shared" si="1"/>
        <v>0_88</v>
      </c>
      <c r="D18" s="16" t="str">
        <f t="shared" si="2"/>
        <v>-4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150</v>
      </c>
      <c r="C19" s="16" t="str">
        <f t="shared" si="1"/>
        <v>0_88</v>
      </c>
      <c r="D19" s="16" t="str">
        <f t="shared" si="2"/>
        <v>0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151</v>
      </c>
      <c r="C20" s="16" t="str">
        <f t="shared" si="1"/>
        <v>0_88</v>
      </c>
      <c r="D20" s="16" t="str">
        <f t="shared" si="2"/>
        <v>0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152</v>
      </c>
      <c r="C21" s="16" t="str">
        <f t="shared" si="1"/>
        <v>0_88</v>
      </c>
      <c r="D21" s="16" t="str">
        <f t="shared" si="2"/>
        <v>7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153</v>
      </c>
      <c r="C22" s="16" t="str">
        <f t="shared" si="1"/>
        <v>0_87</v>
      </c>
      <c r="D22" s="16" t="str">
        <f t="shared" si="2"/>
        <v>7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154</v>
      </c>
      <c r="C23" s="16" t="str">
        <f t="shared" si="1"/>
        <v>0_79</v>
      </c>
      <c r="D23" s="16" t="str">
        <f t="shared" si="2"/>
        <v>-6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155</v>
      </c>
      <c r="C24" s="16" t="str">
        <f t="shared" si="1"/>
        <v>0_79</v>
      </c>
      <c r="D24" s="16" t="str">
        <f t="shared" si="2"/>
        <v>-6</v>
      </c>
      <c r="E24" s="16" t="str">
        <f t="shared" si="3"/>
        <v>OFF</v>
      </c>
      <c r="F24" s="16"/>
      <c r="G24" s="16"/>
      <c r="H24" s="19"/>
    </row>
    <row r="25" spans="1:8" x14ac:dyDescent="0.45">
      <c r="A25" s="18">
        <v>17</v>
      </c>
      <c r="B25" s="17" t="s">
        <v>156</v>
      </c>
      <c r="C25" s="16" t="str">
        <f t="shared" si="1"/>
        <v>0_81</v>
      </c>
      <c r="D25" s="16" t="str">
        <f t="shared" si="2"/>
        <v>-6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157</v>
      </c>
      <c r="C26" s="16" t="str">
        <f t="shared" si="1"/>
        <v>0_81</v>
      </c>
      <c r="D26" s="16" t="str">
        <f t="shared" si="2"/>
        <v>-3</v>
      </c>
      <c r="E26" s="16" t="str">
        <f t="shared" si="3"/>
        <v>ON</v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DA2F5F1-B5B0-4F96-BF68-AAD802A16F05}">
          <x14:formula1>
            <xm:f>Dane!$C$2:$C$3</xm:f>
          </x14:formula1>
          <xm:sqref>E4:H4</xm:sqref>
        </x14:dataValidation>
        <x14:dataValidation type="list" allowBlank="1" showInputMessage="1" showErrorMessage="1" xr:uid="{BEB3D682-5E6A-444D-BB65-94A1D3868CA4}">
          <x14:formula1>
            <xm:f>Dane!$A$11:$A$25</xm:f>
          </x14:formula1>
          <xm:sqref>D4</xm:sqref>
        </x14:dataValidation>
        <x14:dataValidation type="list" allowBlank="1" showInputMessage="1" showErrorMessage="1" xr:uid="{5B1ADAA1-1014-43A2-8D6F-86F38110830A}">
          <x14:formula1>
            <xm:f>Dane!$A$6:$A$8</xm:f>
          </x14:formula1>
          <xm:sqref>C4</xm:sqref>
        </x14:dataValidation>
        <x14:dataValidation type="list" allowBlank="1" showInputMessage="1" showErrorMessage="1" xr:uid="{7E25DE3A-FAF0-4284-A5BB-643476E4C5F5}">
          <x14:formula1>
            <xm:f>Dane!$A$2:$A$3</xm:f>
          </x14:formula1>
          <xm:sqref>A4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F1F46-19FF-4A4F-ABC1-1A56626D9339}">
  <sheetPr codeName="Arkusz11"/>
  <dimension ref="A1:X28"/>
  <sheetViews>
    <sheetView workbookViewId="0">
      <selection activeCell="D4" sqref="D4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7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20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361941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158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-3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159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-7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160</v>
      </c>
      <c r="C11" s="16" t="str">
        <f t="shared" si="1"/>
        <v>1_0</v>
      </c>
      <c r="D11" s="16" t="str">
        <f t="shared" si="2"/>
        <v>-7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161</v>
      </c>
      <c r="C12" s="16" t="str">
        <f t="shared" si="1"/>
        <v>1_0</v>
      </c>
      <c r="D12" s="16" t="str">
        <f t="shared" si="2"/>
        <v>-3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162</v>
      </c>
      <c r="C13" s="16" t="str">
        <f t="shared" si="1"/>
        <v>0_92</v>
      </c>
      <c r="D13" s="16" t="str">
        <f t="shared" si="2"/>
        <v>-3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163</v>
      </c>
      <c r="C14" s="16" t="str">
        <f t="shared" si="1"/>
        <v>0_92</v>
      </c>
      <c r="D14" s="16" t="str">
        <f t="shared" si="2"/>
        <v>1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164</v>
      </c>
      <c r="C15" s="16" t="str">
        <f t="shared" si="1"/>
        <v>0_83</v>
      </c>
      <c r="D15" s="16" t="str">
        <f t="shared" si="2"/>
        <v>-9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165</v>
      </c>
      <c r="C16" s="16" t="str">
        <f t="shared" si="1"/>
        <v>0_83</v>
      </c>
      <c r="D16" s="16" t="str">
        <f t="shared" si="2"/>
        <v>-9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166</v>
      </c>
      <c r="C17" s="16" t="str">
        <f t="shared" si="1"/>
        <v>0_83</v>
      </c>
      <c r="D17" s="16" t="str">
        <f t="shared" si="2"/>
        <v>-4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167</v>
      </c>
      <c r="C18" s="16" t="str">
        <f t="shared" si="1"/>
        <v>0_83</v>
      </c>
      <c r="D18" s="16" t="str">
        <f t="shared" si="2"/>
        <v>-4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168</v>
      </c>
      <c r="C19" s="16" t="str">
        <f t="shared" si="1"/>
        <v>0_8</v>
      </c>
      <c r="D19" s="16" t="str">
        <f t="shared" si="2"/>
        <v>-4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169</v>
      </c>
      <c r="C20" s="16" t="str">
        <f t="shared" si="1"/>
        <v>0_89</v>
      </c>
      <c r="D20" s="16" t="str">
        <f t="shared" si="2"/>
        <v>-4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170</v>
      </c>
      <c r="C21" s="16" t="str">
        <f t="shared" si="1"/>
        <v>0_78</v>
      </c>
      <c r="D21" s="16" t="str">
        <f t="shared" si="2"/>
        <v>-6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171</v>
      </c>
      <c r="C22" s="16" t="str">
        <f t="shared" si="1"/>
        <v>0_8</v>
      </c>
      <c r="D22" s="16" t="str">
        <f t="shared" si="2"/>
        <v>-6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172</v>
      </c>
      <c r="C23" s="16" t="str">
        <f t="shared" si="1"/>
        <v>0_8</v>
      </c>
      <c r="D23" s="16" t="str">
        <f t="shared" si="2"/>
        <v>1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173</v>
      </c>
      <c r="C24" s="16" t="str">
        <f t="shared" si="1"/>
        <v>0_8</v>
      </c>
      <c r="D24" s="16" t="str">
        <f t="shared" si="2"/>
        <v>-5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174</v>
      </c>
      <c r="C25" s="16" t="str">
        <f t="shared" si="1"/>
        <v>0_91</v>
      </c>
      <c r="D25" s="16" t="str">
        <f t="shared" si="2"/>
        <v>-5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175</v>
      </c>
      <c r="C26" s="16" t="str">
        <f t="shared" si="1"/>
        <v>0_91</v>
      </c>
      <c r="D26" s="16" t="str">
        <f t="shared" si="2"/>
        <v>-2</v>
      </c>
      <c r="E26" s="16" t="str">
        <f t="shared" si="3"/>
        <v>ON</v>
      </c>
      <c r="F26" s="16"/>
      <c r="G26" s="16"/>
      <c r="H26" s="19"/>
    </row>
    <row r="27" spans="1:8" x14ac:dyDescent="0.45">
      <c r="A27" s="18">
        <v>19</v>
      </c>
      <c r="B27" s="17" t="s">
        <v>176</v>
      </c>
      <c r="C27" s="16" t="str">
        <f t="shared" si="1"/>
        <v>0_91</v>
      </c>
      <c r="D27" s="16" t="str">
        <f t="shared" si="2"/>
        <v>-5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 t="s">
        <v>177</v>
      </c>
      <c r="C28" s="22" t="str">
        <f t="shared" si="1"/>
        <v>0_91</v>
      </c>
      <c r="D28" s="16" t="str">
        <f t="shared" si="2"/>
        <v>7</v>
      </c>
      <c r="E28" s="22" t="str">
        <f t="shared" si="3"/>
        <v>OFF</v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4833F1D-46C2-444F-A646-D7CF3E2B2CEC}">
          <x14:formula1>
            <xm:f>Dane!$C$2:$C$3</xm:f>
          </x14:formula1>
          <xm:sqref>E4:H4</xm:sqref>
        </x14:dataValidation>
        <x14:dataValidation type="list" allowBlank="1" showInputMessage="1" showErrorMessage="1" xr:uid="{7E284247-16D0-4DC0-B105-28A8DF91AF57}">
          <x14:formula1>
            <xm:f>Dane!$A$11:$A$25</xm:f>
          </x14:formula1>
          <xm:sqref>D4</xm:sqref>
        </x14:dataValidation>
        <x14:dataValidation type="list" allowBlank="1" showInputMessage="1" showErrorMessage="1" xr:uid="{E3E04DBF-85B4-4515-9B45-0EC6901AE012}">
          <x14:formula1>
            <xm:f>Dane!$A$6:$A$8</xm:f>
          </x14:formula1>
          <xm:sqref>C4</xm:sqref>
        </x14:dataValidation>
        <x14:dataValidation type="list" allowBlank="1" showInputMessage="1" showErrorMessage="1" xr:uid="{D8931464-1A64-4F90-A262-E4E39BB57A4E}">
          <x14:formula1>
            <xm:f>Dane!$A$2:$A$3</xm:f>
          </x14:formula1>
          <xm:sqref>A4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27044-376C-47DB-9033-183E4F01C160}">
  <sheetPr codeName="Arkusz12"/>
  <dimension ref="A1:X28"/>
  <sheetViews>
    <sheetView workbookViewId="0">
      <selection activeCell="D4" sqref="D4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8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21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362535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178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1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179</v>
      </c>
      <c r="C10" s="16" t="str">
        <f t="shared" ref="C10:C28" si="1">IF(B10="","",_xlfn.TEXTAFTER(_xlfn.TEXTBEFORE(B10,"_Exp"),"Fokus_"))</f>
        <v>0_95</v>
      </c>
      <c r="D10" s="16" t="str">
        <f t="shared" ref="D10:D28" si="2">IF(B10="","",SUBSTITUTE(LEFT(_xlfn.TEXTAFTER(B10,"_Exp_"),FIND(".",_xlfn.TEXTAFTER(B10,"_Exp_"))-1),"_CUT",""))</f>
        <v>1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180</v>
      </c>
      <c r="C11" s="16" t="str">
        <f t="shared" si="1"/>
        <v>0_95</v>
      </c>
      <c r="D11" s="16" t="str">
        <f t="shared" si="2"/>
        <v>-3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181</v>
      </c>
      <c r="C12" s="16" t="str">
        <f t="shared" si="1"/>
        <v>0_95</v>
      </c>
      <c r="D12" s="16" t="str">
        <f t="shared" si="2"/>
        <v>-3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182</v>
      </c>
      <c r="C13" s="16" t="str">
        <f t="shared" si="1"/>
        <v>0_95</v>
      </c>
      <c r="D13" s="16" t="str">
        <f t="shared" si="2"/>
        <v>3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183</v>
      </c>
      <c r="C14" s="16" t="str">
        <f t="shared" si="1"/>
        <v>0_95</v>
      </c>
      <c r="D14" s="16" t="str">
        <f t="shared" si="2"/>
        <v>-6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184</v>
      </c>
      <c r="C15" s="16" t="str">
        <f t="shared" si="1"/>
        <v>0_95</v>
      </c>
      <c r="D15" s="16" t="str">
        <f t="shared" si="2"/>
        <v>-4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185</v>
      </c>
      <c r="C16" s="16" t="str">
        <f t="shared" si="1"/>
        <v>0_95</v>
      </c>
      <c r="D16" s="16" t="str">
        <f t="shared" si="2"/>
        <v>-4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186</v>
      </c>
      <c r="C17" s="16" t="str">
        <f t="shared" si="1"/>
        <v>0_94</v>
      </c>
      <c r="D17" s="16" t="str">
        <f t="shared" si="2"/>
        <v>-4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187</v>
      </c>
      <c r="C18" s="16" t="str">
        <f t="shared" si="1"/>
        <v>0_94</v>
      </c>
      <c r="D18" s="16" t="str">
        <f t="shared" si="2"/>
        <v>-4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188</v>
      </c>
      <c r="C19" s="16" t="str">
        <f t="shared" si="1"/>
        <v>0_89</v>
      </c>
      <c r="D19" s="16" t="str">
        <f t="shared" si="2"/>
        <v>-4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189</v>
      </c>
      <c r="C20" s="16" t="str">
        <f t="shared" si="1"/>
        <v>0_89</v>
      </c>
      <c r="D20" s="16" t="str">
        <f t="shared" si="2"/>
        <v>1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190</v>
      </c>
      <c r="C21" s="16" t="str">
        <f t="shared" si="1"/>
        <v>0_94</v>
      </c>
      <c r="D21" s="16" t="str">
        <f t="shared" si="2"/>
        <v>1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191</v>
      </c>
      <c r="C22" s="16" t="str">
        <f t="shared" si="1"/>
        <v>0_87</v>
      </c>
      <c r="D22" s="16" t="str">
        <f t="shared" si="2"/>
        <v>-4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192</v>
      </c>
      <c r="C23" s="16" t="str">
        <f t="shared" si="1"/>
        <v>0_79</v>
      </c>
      <c r="D23" s="16" t="str">
        <f t="shared" si="2"/>
        <v>-4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193</v>
      </c>
      <c r="C24" s="16" t="str">
        <f t="shared" si="1"/>
        <v>0_91</v>
      </c>
      <c r="D24" s="16" t="str">
        <f t="shared" si="2"/>
        <v>-4</v>
      </c>
      <c r="E24" s="16" t="str">
        <f t="shared" si="3"/>
        <v>OFF</v>
      </c>
      <c r="F24" s="16"/>
      <c r="G24" s="16"/>
      <c r="H24" s="19"/>
    </row>
    <row r="25" spans="1:8" x14ac:dyDescent="0.45">
      <c r="A25" s="18">
        <v>17</v>
      </c>
      <c r="B25" s="17" t="s">
        <v>194</v>
      </c>
      <c r="C25" s="16" t="str">
        <f t="shared" si="1"/>
        <v>0_91</v>
      </c>
      <c r="D25" s="16" t="str">
        <f t="shared" si="2"/>
        <v>-4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FA7349B-7A21-4113-87C9-E7ADD3DB3678}">
          <x14:formula1>
            <xm:f>Dane!$C$2:$C$3</xm:f>
          </x14:formula1>
          <xm:sqref>E4:H4</xm:sqref>
        </x14:dataValidation>
        <x14:dataValidation type="list" allowBlank="1" showInputMessage="1" showErrorMessage="1" xr:uid="{AC2D417D-2510-40FD-8DFD-BEBFC583C2C2}">
          <x14:formula1>
            <xm:f>Dane!$A$11:$A$25</xm:f>
          </x14:formula1>
          <xm:sqref>D4</xm:sqref>
        </x14:dataValidation>
        <x14:dataValidation type="list" allowBlank="1" showInputMessage="1" showErrorMessage="1" xr:uid="{FA3434CB-3117-4EEE-ABD3-975A21FC27C1}">
          <x14:formula1>
            <xm:f>Dane!$A$6:$A$8</xm:f>
          </x14:formula1>
          <xm:sqref>C4</xm:sqref>
        </x14:dataValidation>
        <x14:dataValidation type="list" allowBlank="1" showInputMessage="1" showErrorMessage="1" xr:uid="{324293B8-2189-4651-98C1-8703A33EFEAE}">
          <x14:formula1>
            <xm:f>Dane!$A$2:$A$3</xm:f>
          </x14:formula1>
          <xm:sqref>A4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C59EE-6E98-4C2A-B92A-AA4D0BD05A4E}">
  <sheetPr codeName="Arkusz13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6.7968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9</v>
      </c>
      <c r="B1" s="30"/>
      <c r="C1" s="30"/>
      <c r="D1" s="30"/>
      <c r="E1" s="30"/>
      <c r="F1" s="30"/>
      <c r="G1" s="30"/>
      <c r="H1" s="30"/>
      <c r="I1" s="29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21</v>
      </c>
      <c r="C4" s="14" t="s">
        <v>37</v>
      </c>
      <c r="D4" s="14" t="s">
        <v>57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362537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195</v>
      </c>
      <c r="C9" s="16" t="str">
        <f>IF(B9="","",_xlfn.TEXTAFTER(_xlfn.TEXTBEFORE(B9,"_Exp"),"Fokus_"))</f>
        <v>0_53</v>
      </c>
      <c r="D9" s="16" t="str">
        <f>IF(B9="","",SUBSTITUTE(LEFT(_xlfn.TEXTAFTER(B9,"_Exp_"),FIND(".",_xlfn.TEXTAFTER(B9,"_Exp_"))-1),"_CUT",""))</f>
        <v>-4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196</v>
      </c>
      <c r="C10" s="16" t="str">
        <f t="shared" ref="C10:C28" si="1">IF(B10="","",_xlfn.TEXTAFTER(_xlfn.TEXTBEFORE(B10,"_Exp"),"Fokus_"))</f>
        <v>0_53</v>
      </c>
      <c r="D10" s="16" t="str">
        <f t="shared" ref="D10:D28" si="2">IF(B10="","",SUBSTITUTE(LEFT(_xlfn.TEXTAFTER(B10,"_Exp_"),FIND(".",_xlfn.TEXTAFTER(B10,"_Exp_"))-1),"_CUT",""))</f>
        <v>-6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197</v>
      </c>
      <c r="C11" s="16" t="str">
        <f t="shared" si="1"/>
        <v>0_53</v>
      </c>
      <c r="D11" s="16" t="str">
        <f t="shared" si="2"/>
        <v>-6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198</v>
      </c>
      <c r="C12" s="16" t="str">
        <f t="shared" si="1"/>
        <v>0_53</v>
      </c>
      <c r="D12" s="16" t="str">
        <f t="shared" si="2"/>
        <v>-6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199</v>
      </c>
      <c r="C13" s="16" t="str">
        <f t="shared" si="1"/>
        <v>0_74</v>
      </c>
      <c r="D13" s="16" t="str">
        <f t="shared" si="2"/>
        <v>-6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200</v>
      </c>
      <c r="C14" s="16" t="str">
        <f t="shared" si="1"/>
        <v>0_74</v>
      </c>
      <c r="D14" s="16" t="str">
        <f t="shared" si="2"/>
        <v>1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201</v>
      </c>
      <c r="C15" s="16" t="str">
        <f t="shared" si="1"/>
        <v>0_7</v>
      </c>
      <c r="D15" s="16" t="str">
        <f t="shared" si="2"/>
        <v>1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202</v>
      </c>
      <c r="C16" s="16" t="str">
        <f t="shared" si="1"/>
        <v>0_71</v>
      </c>
      <c r="D16" s="16" t="str">
        <f t="shared" si="2"/>
        <v>1</v>
      </c>
      <c r="E16" s="16" t="str">
        <f t="shared" si="0"/>
        <v>OFF</v>
      </c>
      <c r="F16" s="16"/>
      <c r="G16" s="16"/>
      <c r="H16" s="19"/>
    </row>
    <row r="17" spans="1:8" x14ac:dyDescent="0.45">
      <c r="A17" s="18">
        <v>9</v>
      </c>
      <c r="B17" s="17" t="s">
        <v>203</v>
      </c>
      <c r="C17" s="16" t="str">
        <f t="shared" si="1"/>
        <v>0_71</v>
      </c>
      <c r="D17" s="16" t="str">
        <f t="shared" si="2"/>
        <v>-2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204</v>
      </c>
      <c r="C18" s="16" t="str">
        <f t="shared" si="1"/>
        <v>0_56</v>
      </c>
      <c r="D18" s="16" t="str">
        <f t="shared" si="2"/>
        <v>-2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205</v>
      </c>
      <c r="C19" s="16" t="str">
        <f t="shared" si="1"/>
        <v>0_56</v>
      </c>
      <c r="D19" s="16" t="str">
        <f t="shared" si="2"/>
        <v>0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206</v>
      </c>
      <c r="C20" s="16" t="str">
        <f t="shared" si="1"/>
        <v>0_56</v>
      </c>
      <c r="D20" s="16" t="str">
        <f t="shared" si="2"/>
        <v>0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207</v>
      </c>
      <c r="C21" s="16" t="str">
        <f t="shared" si="1"/>
        <v>0_56</v>
      </c>
      <c r="D21" s="16" t="str">
        <f t="shared" si="2"/>
        <v>0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208</v>
      </c>
      <c r="C22" s="16" t="str">
        <f t="shared" si="1"/>
        <v>0_56</v>
      </c>
      <c r="D22" s="16" t="str">
        <f t="shared" si="2"/>
        <v>5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209</v>
      </c>
      <c r="C23" s="16" t="str">
        <f t="shared" si="1"/>
        <v>0_63</v>
      </c>
      <c r="D23" s="16" t="str">
        <f t="shared" si="2"/>
        <v>2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210</v>
      </c>
      <c r="C24" s="16" t="str">
        <f t="shared" si="1"/>
        <v>0_63</v>
      </c>
      <c r="D24" s="16" t="str">
        <f t="shared" si="2"/>
        <v>2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211</v>
      </c>
      <c r="C25" s="16" t="str">
        <f t="shared" si="1"/>
        <v>0_63</v>
      </c>
      <c r="D25" s="16" t="str">
        <f t="shared" si="2"/>
        <v>-4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212</v>
      </c>
      <c r="C26" s="16" t="str">
        <f t="shared" si="1"/>
        <v>0_64</v>
      </c>
      <c r="D26" s="16" t="str">
        <f t="shared" si="2"/>
        <v>-4</v>
      </c>
      <c r="E26" s="16" t="str">
        <f t="shared" si="3"/>
        <v>ON</v>
      </c>
      <c r="F26" s="16"/>
      <c r="G26" s="16"/>
      <c r="H26" s="19"/>
    </row>
    <row r="27" spans="1:8" x14ac:dyDescent="0.45">
      <c r="A27" s="18">
        <v>19</v>
      </c>
      <c r="B27" s="17" t="s">
        <v>213</v>
      </c>
      <c r="C27" s="16" t="str">
        <f t="shared" si="1"/>
        <v>0_64</v>
      </c>
      <c r="D27" s="16" t="str">
        <f t="shared" si="2"/>
        <v>-2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 t="s">
        <v>214</v>
      </c>
      <c r="C28" s="22" t="str">
        <f t="shared" si="1"/>
        <v>0_64</v>
      </c>
      <c r="D28" s="16" t="str">
        <f t="shared" si="2"/>
        <v>-8</v>
      </c>
      <c r="E28" s="22" t="str">
        <f t="shared" si="3"/>
        <v>ON</v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0983B09-716E-4BCE-90D3-1BFC692E7C83}">
          <x14:formula1>
            <xm:f>Dane!$C$2:$C$3</xm:f>
          </x14:formula1>
          <xm:sqref>E4:H4</xm:sqref>
        </x14:dataValidation>
        <x14:dataValidation type="list" allowBlank="1" showInputMessage="1" showErrorMessage="1" xr:uid="{8C703A85-B8C3-4664-99D3-572D2E69AACA}">
          <x14:formula1>
            <xm:f>Dane!$A$11:$A$25</xm:f>
          </x14:formula1>
          <xm:sqref>D4</xm:sqref>
        </x14:dataValidation>
        <x14:dataValidation type="list" allowBlank="1" showInputMessage="1" showErrorMessage="1" xr:uid="{F1465381-C71A-46A5-927D-564F1FF8A7ED}">
          <x14:formula1>
            <xm:f>Dane!$A$6:$A$8</xm:f>
          </x14:formula1>
          <xm:sqref>C4</xm:sqref>
        </x14:dataValidation>
        <x14:dataValidation type="list" allowBlank="1" showInputMessage="1" showErrorMessage="1" xr:uid="{4C2F2855-FF20-49DE-A1A9-37CDFCAFB836}">
          <x14:formula1>
            <xm:f>Dane!$A$2:$A$3</xm:f>
          </x14:formula1>
          <xm:sqref>A4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2DE10-7EED-4CCB-8E15-0FF3E8A22AEC}">
  <sheetPr codeName="Arkusz14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10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21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22</v>
      </c>
      <c r="G4" s="14" t="s">
        <v>23</v>
      </c>
      <c r="H4" s="14" t="s">
        <v>22</v>
      </c>
      <c r="I4" s="15">
        <v>362531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215</v>
      </c>
      <c r="C9" s="16" t="str">
        <f>IF(B9="","",_xlfn.TEXTAFTER(_xlfn.TEXTBEFORE(B9,"_Exp"),"Fokus_"))</f>
        <v>0_6</v>
      </c>
      <c r="D9" s="16" t="str">
        <f>IF(B9="","",SUBSTITUTE(LEFT(_xlfn.TEXTAFTER(B9,"_Exp_"),FIND(".",_xlfn.TEXTAFTER(B9,"_Exp_"))-1),"_CUT",""))</f>
        <v>-8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216</v>
      </c>
      <c r="C10" s="16" t="str">
        <f t="shared" ref="C10:C28" si="1">IF(B10="","",_xlfn.TEXTAFTER(_xlfn.TEXTBEFORE(B10,"_Exp"),"Fokus_"))</f>
        <v>0_6</v>
      </c>
      <c r="D10" s="16" t="str">
        <f t="shared" ref="D10:D28" si="2">IF(B10="","",SUBSTITUTE(LEFT(_xlfn.TEXTAFTER(B10,"_Exp_"),FIND(".",_xlfn.TEXTAFTER(B10,"_Exp_"))-1),"_CUT",""))</f>
        <v>-5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217</v>
      </c>
      <c r="C11" s="16" t="str">
        <f t="shared" si="1"/>
        <v>0_6</v>
      </c>
      <c r="D11" s="16" t="str">
        <f t="shared" si="2"/>
        <v>-5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218</v>
      </c>
      <c r="C12" s="16" t="str">
        <f t="shared" si="1"/>
        <v>0_74</v>
      </c>
      <c r="D12" s="16" t="str">
        <f t="shared" si="2"/>
        <v>-7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219</v>
      </c>
      <c r="C13" s="16" t="str">
        <f t="shared" si="1"/>
        <v>0_74</v>
      </c>
      <c r="D13" s="16" t="str">
        <f t="shared" si="2"/>
        <v>-4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220</v>
      </c>
      <c r="C14" s="16" t="str">
        <f t="shared" si="1"/>
        <v>0_78</v>
      </c>
      <c r="D14" s="16" t="str">
        <f t="shared" si="2"/>
        <v>-4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221</v>
      </c>
      <c r="C15" s="16" t="str">
        <f t="shared" si="1"/>
        <v>0_78</v>
      </c>
      <c r="D15" s="16" t="str">
        <f t="shared" si="2"/>
        <v>-4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222</v>
      </c>
      <c r="C16" s="16" t="str">
        <f t="shared" si="1"/>
        <v>0_78</v>
      </c>
      <c r="D16" s="16" t="str">
        <f t="shared" si="2"/>
        <v>-4</v>
      </c>
      <c r="E16" s="16" t="str">
        <f t="shared" si="0"/>
        <v>OFF</v>
      </c>
      <c r="F16" s="16"/>
      <c r="G16" s="16"/>
      <c r="H16" s="19"/>
    </row>
    <row r="17" spans="1:8" x14ac:dyDescent="0.45">
      <c r="A17" s="18">
        <v>9</v>
      </c>
      <c r="B17" s="17" t="s">
        <v>223</v>
      </c>
      <c r="C17" s="16" t="str">
        <f t="shared" si="1"/>
        <v>0_78</v>
      </c>
      <c r="D17" s="16" t="str">
        <f t="shared" si="2"/>
        <v>-4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224</v>
      </c>
      <c r="C18" s="16" t="str">
        <f t="shared" si="1"/>
        <v>0_78</v>
      </c>
      <c r="D18" s="16" t="str">
        <f t="shared" si="2"/>
        <v>-8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225</v>
      </c>
      <c r="C19" s="16" t="str">
        <f t="shared" si="1"/>
        <v>0_74</v>
      </c>
      <c r="D19" s="16" t="str">
        <f t="shared" si="2"/>
        <v>-8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226</v>
      </c>
      <c r="C20" s="16" t="str">
        <f t="shared" si="1"/>
        <v>0_82</v>
      </c>
      <c r="D20" s="16" t="str">
        <f t="shared" si="2"/>
        <v>-5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227</v>
      </c>
      <c r="C21" s="16" t="str">
        <f t="shared" si="1"/>
        <v>0_82</v>
      </c>
      <c r="D21" s="16" t="str">
        <f t="shared" si="2"/>
        <v>-5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228</v>
      </c>
      <c r="C22" s="16" t="str">
        <f t="shared" si="1"/>
        <v>0_77</v>
      </c>
      <c r="D22" s="16" t="str">
        <f t="shared" si="2"/>
        <v>-5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229</v>
      </c>
      <c r="C23" s="16" t="str">
        <f t="shared" si="1"/>
        <v>0_77</v>
      </c>
      <c r="D23" s="16" t="str">
        <f t="shared" si="2"/>
        <v>-7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230</v>
      </c>
      <c r="C24" s="16" t="str">
        <f t="shared" si="1"/>
        <v>0_67</v>
      </c>
      <c r="D24" s="16" t="str">
        <f t="shared" si="2"/>
        <v>-7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231</v>
      </c>
      <c r="C25" s="16" t="str">
        <f t="shared" si="1"/>
        <v>0_67</v>
      </c>
      <c r="D25" s="16" t="str">
        <f t="shared" si="2"/>
        <v>-7</v>
      </c>
      <c r="E25" s="16" t="str">
        <f t="shared" si="3"/>
        <v>OFF</v>
      </c>
      <c r="F25" s="16"/>
      <c r="G25" s="16"/>
      <c r="H25" s="19"/>
    </row>
    <row r="26" spans="1:8" x14ac:dyDescent="0.45">
      <c r="A26" s="18">
        <v>18</v>
      </c>
      <c r="B26" s="17" t="s">
        <v>232</v>
      </c>
      <c r="C26" s="16" t="str">
        <f t="shared" si="1"/>
        <v>0_67</v>
      </c>
      <c r="D26" s="16" t="str">
        <f t="shared" si="2"/>
        <v>-4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39D09BA-C757-4376-9E30-F2B2D2D82CF2}">
          <x14:formula1>
            <xm:f>Dane!$C$2:$C$3</xm:f>
          </x14:formula1>
          <xm:sqref>E4:H4</xm:sqref>
        </x14:dataValidation>
        <x14:dataValidation type="list" allowBlank="1" showInputMessage="1" showErrorMessage="1" xr:uid="{2328E9C1-DD61-4686-BA8A-3A42E278271D}">
          <x14:formula1>
            <xm:f>Dane!$A$11:$A$25</xm:f>
          </x14:formula1>
          <xm:sqref>D4</xm:sqref>
        </x14:dataValidation>
        <x14:dataValidation type="list" allowBlank="1" showInputMessage="1" showErrorMessage="1" xr:uid="{057B068A-EAB8-4D05-A65A-E27408155C5B}">
          <x14:formula1>
            <xm:f>Dane!$A$6:$A$8</xm:f>
          </x14:formula1>
          <xm:sqref>C4</xm:sqref>
        </x14:dataValidation>
        <x14:dataValidation type="list" allowBlank="1" showInputMessage="1" showErrorMessage="1" xr:uid="{B9641CE2-2159-48A7-BCCB-A561FA1C969A}">
          <x14:formula1>
            <xm:f>Dane!$A$2:$A$3</xm:f>
          </x14:formula1>
          <xm:sqref>A4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7049C-9FE8-4BA0-9400-8EA6F5F007F3}">
  <sheetPr codeName="Arkusz15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8.398437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11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21</v>
      </c>
      <c r="C4" s="14" t="s">
        <v>37</v>
      </c>
      <c r="D4" s="14" t="s">
        <v>57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362529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233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-4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234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-7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235</v>
      </c>
      <c r="C11" s="16" t="str">
        <f t="shared" si="1"/>
        <v>1_0</v>
      </c>
      <c r="D11" s="16" t="str">
        <f t="shared" si="2"/>
        <v>-7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236</v>
      </c>
      <c r="C12" s="16" t="str">
        <f t="shared" si="1"/>
        <v>1_0</v>
      </c>
      <c r="D12" s="16" t="str">
        <f t="shared" si="2"/>
        <v>-7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237</v>
      </c>
      <c r="C13" s="16" t="str">
        <f t="shared" si="1"/>
        <v>1_0</v>
      </c>
      <c r="D13" s="16" t="str">
        <f t="shared" si="2"/>
        <v>-7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238</v>
      </c>
      <c r="C14" s="16" t="str">
        <f t="shared" si="1"/>
        <v>1_0</v>
      </c>
      <c r="D14" s="16" t="str">
        <f t="shared" si="2"/>
        <v>-1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239</v>
      </c>
      <c r="C15" s="16" t="str">
        <f t="shared" si="1"/>
        <v>0_98</v>
      </c>
      <c r="D15" s="16" t="str">
        <f t="shared" si="2"/>
        <v>-1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240</v>
      </c>
      <c r="C16" s="16" t="str">
        <f t="shared" si="1"/>
        <v>0_98</v>
      </c>
      <c r="D16" s="16" t="str">
        <f t="shared" si="2"/>
        <v>-1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241</v>
      </c>
      <c r="C17" s="16" t="str">
        <f t="shared" si="1"/>
        <v>0_98</v>
      </c>
      <c r="D17" s="16" t="str">
        <f t="shared" si="2"/>
        <v>-4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242</v>
      </c>
      <c r="C18" s="16" t="str">
        <f t="shared" si="1"/>
        <v>0_88</v>
      </c>
      <c r="D18" s="16" t="str">
        <f t="shared" si="2"/>
        <v>-4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243</v>
      </c>
      <c r="C19" s="16" t="str">
        <f t="shared" si="1"/>
        <v>0_88</v>
      </c>
      <c r="D19" s="16" t="str">
        <f t="shared" si="2"/>
        <v>-4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244</v>
      </c>
      <c r="C20" s="16" t="str">
        <f t="shared" si="1"/>
        <v>0_88</v>
      </c>
      <c r="D20" s="16" t="str">
        <f t="shared" si="2"/>
        <v>-4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245</v>
      </c>
      <c r="C21" s="16" t="str">
        <f t="shared" si="1"/>
        <v>0_88</v>
      </c>
      <c r="D21" s="16" t="str">
        <f t="shared" si="2"/>
        <v>-10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246</v>
      </c>
      <c r="C22" s="16" t="str">
        <f t="shared" si="1"/>
        <v>0_84</v>
      </c>
      <c r="D22" s="16" t="str">
        <f t="shared" si="2"/>
        <v>-10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247</v>
      </c>
      <c r="C23" s="16" t="str">
        <f t="shared" si="1"/>
        <v>0_94</v>
      </c>
      <c r="D23" s="16" t="str">
        <f t="shared" si="2"/>
        <v>-10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248</v>
      </c>
      <c r="C24" s="16" t="str">
        <f t="shared" si="1"/>
        <v>0_94</v>
      </c>
      <c r="D24" s="16" t="str">
        <f t="shared" si="2"/>
        <v>-8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249</v>
      </c>
      <c r="C25" s="16" t="str">
        <f t="shared" si="1"/>
        <v>0_92</v>
      </c>
      <c r="D25" s="16" t="str">
        <f t="shared" si="2"/>
        <v>-8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250</v>
      </c>
      <c r="C26" s="16" t="str">
        <f t="shared" si="1"/>
        <v>0_92</v>
      </c>
      <c r="D26" s="16" t="str">
        <f t="shared" si="2"/>
        <v>-8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251</v>
      </c>
      <c r="C27" s="16" t="str">
        <f t="shared" si="1"/>
        <v>0_92</v>
      </c>
      <c r="D27" s="16" t="str">
        <f t="shared" si="2"/>
        <v>-8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 t="s">
        <v>252</v>
      </c>
      <c r="C28" s="22" t="str">
        <f t="shared" si="1"/>
        <v>0_89</v>
      </c>
      <c r="D28" s="16" t="str">
        <f t="shared" si="2"/>
        <v>-8</v>
      </c>
      <c r="E28" s="22" t="str">
        <f t="shared" si="3"/>
        <v>ON</v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98A730-7C21-49B6-9D88-4C7E24A83641}">
          <x14:formula1>
            <xm:f>Dane!$C$2:$C$3</xm:f>
          </x14:formula1>
          <xm:sqref>E4:H4</xm:sqref>
        </x14:dataValidation>
        <x14:dataValidation type="list" allowBlank="1" showInputMessage="1" showErrorMessage="1" xr:uid="{06565388-21AA-4A80-BACE-73F256E5286C}">
          <x14:formula1>
            <xm:f>Dane!$A$11:$A$25</xm:f>
          </x14:formula1>
          <xm:sqref>D4</xm:sqref>
        </x14:dataValidation>
        <x14:dataValidation type="list" allowBlank="1" showInputMessage="1" showErrorMessage="1" xr:uid="{6EAE4D80-67C9-40C5-903C-A2DE3BE1D26E}">
          <x14:formula1>
            <xm:f>Dane!$A$6:$A$8</xm:f>
          </x14:formula1>
          <xm:sqref>C4</xm:sqref>
        </x14:dataValidation>
        <x14:dataValidation type="list" allowBlank="1" showInputMessage="1" showErrorMessage="1" xr:uid="{BD62DEDF-70A6-4B82-99FF-DE01FB1CD46A}">
          <x14:formula1>
            <xm:f>Dane!$A$2:$A$3</xm:f>
          </x14:formula1>
          <xm:sqref>A4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A7133-6038-4E9A-BE98-1B4FC6E9FF89}">
  <sheetPr codeName="Arkusz16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12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22</v>
      </c>
      <c r="C4" s="14" t="s">
        <v>37</v>
      </c>
      <c r="D4" s="14" t="s">
        <v>57</v>
      </c>
      <c r="E4" s="14" t="s">
        <v>22</v>
      </c>
      <c r="F4" s="14" t="s">
        <v>23</v>
      </c>
      <c r="G4" s="14" t="s">
        <v>23</v>
      </c>
      <c r="H4" s="14" t="s">
        <v>23</v>
      </c>
      <c r="I4" s="15">
        <v>362533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253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-7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254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-6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255</v>
      </c>
      <c r="C11" s="16" t="str">
        <f t="shared" si="1"/>
        <v>1_0</v>
      </c>
      <c r="D11" s="16" t="str">
        <f t="shared" si="2"/>
        <v>-6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256</v>
      </c>
      <c r="C12" s="16" t="str">
        <f t="shared" si="1"/>
        <v>1_0</v>
      </c>
      <c r="D12" s="16" t="str">
        <f t="shared" si="2"/>
        <v>2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257</v>
      </c>
      <c r="C13" s="16" t="str">
        <f t="shared" si="1"/>
        <v>1_0</v>
      </c>
      <c r="D13" s="16" t="str">
        <f t="shared" si="2"/>
        <v>-12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258</v>
      </c>
      <c r="C14" s="16" t="str">
        <f t="shared" si="1"/>
        <v>1_0</v>
      </c>
      <c r="D14" s="16" t="str">
        <f t="shared" si="2"/>
        <v>-2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259</v>
      </c>
      <c r="C15" s="16" t="str">
        <f t="shared" si="1"/>
        <v>1_0</v>
      </c>
      <c r="D15" s="16" t="str">
        <f t="shared" si="2"/>
        <v>-2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260</v>
      </c>
      <c r="C16" s="16" t="str">
        <f t="shared" si="1"/>
        <v>0_91</v>
      </c>
      <c r="D16" s="16" t="str">
        <f t="shared" si="2"/>
        <v>-5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261</v>
      </c>
      <c r="C17" s="16" t="str">
        <f t="shared" si="1"/>
        <v>0_91</v>
      </c>
      <c r="D17" s="16" t="str">
        <f t="shared" si="2"/>
        <v>-7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262</v>
      </c>
      <c r="C18" s="16" t="str">
        <f t="shared" si="1"/>
        <v>0_93</v>
      </c>
      <c r="D18" s="16" t="str">
        <f t="shared" si="2"/>
        <v>-7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263</v>
      </c>
      <c r="C19" s="16" t="str">
        <f t="shared" si="1"/>
        <v>0_93</v>
      </c>
      <c r="D19" s="16" t="str">
        <f t="shared" si="2"/>
        <v>-7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264</v>
      </c>
      <c r="C20" s="16" t="str">
        <f t="shared" si="1"/>
        <v>0_93</v>
      </c>
      <c r="D20" s="16" t="str">
        <f t="shared" si="2"/>
        <v>-2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265</v>
      </c>
      <c r="C21" s="16" t="str">
        <f t="shared" si="1"/>
        <v>0_93</v>
      </c>
      <c r="D21" s="16" t="str">
        <f t="shared" si="2"/>
        <v>-2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266</v>
      </c>
      <c r="C22" s="16" t="str">
        <f t="shared" si="1"/>
        <v>0_93</v>
      </c>
      <c r="D22" s="16" t="str">
        <f t="shared" si="2"/>
        <v>-7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267</v>
      </c>
      <c r="C23" s="16" t="str">
        <f t="shared" si="1"/>
        <v>0_85</v>
      </c>
      <c r="D23" s="16" t="str">
        <f t="shared" si="2"/>
        <v>-7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268</v>
      </c>
      <c r="C24" s="16" t="str">
        <f t="shared" si="1"/>
        <v>0_85</v>
      </c>
      <c r="D24" s="16" t="str">
        <f t="shared" si="2"/>
        <v>-7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269</v>
      </c>
      <c r="C25" s="16" t="str">
        <f t="shared" si="1"/>
        <v>0_85</v>
      </c>
      <c r="D25" s="16" t="str">
        <f t="shared" si="2"/>
        <v>3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270</v>
      </c>
      <c r="C26" s="16" t="str">
        <f t="shared" si="1"/>
        <v>0_88</v>
      </c>
      <c r="D26" s="16" t="str">
        <f t="shared" si="2"/>
        <v>3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271</v>
      </c>
      <c r="C27" s="16" t="str">
        <f t="shared" si="1"/>
        <v>0_88</v>
      </c>
      <c r="D27" s="16" t="str">
        <f t="shared" si="2"/>
        <v>3</v>
      </c>
      <c r="E27" s="16" t="str">
        <f t="shared" si="3"/>
        <v>OFF</v>
      </c>
      <c r="F27" s="16"/>
      <c r="G27" s="16"/>
      <c r="H27" s="19"/>
    </row>
    <row r="28" spans="1:8" ht="14.65" thickBot="1" x14ac:dyDescent="0.5">
      <c r="A28" s="20">
        <v>20</v>
      </c>
      <c r="B28" s="21" t="s">
        <v>272</v>
      </c>
      <c r="C28" s="22" t="str">
        <f t="shared" si="1"/>
        <v>0_88</v>
      </c>
      <c r="D28" s="16" t="str">
        <f t="shared" si="2"/>
        <v>0</v>
      </c>
      <c r="E28" s="22" t="str">
        <f t="shared" si="3"/>
        <v>ON</v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F347F6-376D-40A4-9FE9-96FA97FB13BD}">
          <x14:formula1>
            <xm:f>Dane!$C$2:$C$3</xm:f>
          </x14:formula1>
          <xm:sqref>E4:H4</xm:sqref>
        </x14:dataValidation>
        <x14:dataValidation type="list" allowBlank="1" showInputMessage="1" showErrorMessage="1" xr:uid="{8A1628C3-2EA9-4DE2-A8BD-9D2A43CCAD1C}">
          <x14:formula1>
            <xm:f>Dane!$A$11:$A$25</xm:f>
          </x14:formula1>
          <xm:sqref>D4</xm:sqref>
        </x14:dataValidation>
        <x14:dataValidation type="list" allowBlank="1" showInputMessage="1" showErrorMessage="1" xr:uid="{50B03373-8F9C-42BA-A96A-B9E940DF7EDF}">
          <x14:formula1>
            <xm:f>Dane!$A$6:$A$8</xm:f>
          </x14:formula1>
          <xm:sqref>C4</xm:sqref>
        </x14:dataValidation>
        <x14:dataValidation type="list" allowBlank="1" showInputMessage="1" showErrorMessage="1" xr:uid="{E1A684C9-2764-486E-B8FB-47C8954FE3DE}">
          <x14:formula1>
            <xm:f>Dane!$A$2:$A$3</xm:f>
          </x14:formula1>
          <xm:sqref>A4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1CB7E-DA14-4A46-AD02-946CE398B2E2}">
  <sheetPr codeName="Arkusz17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4">
        <v>13</v>
      </c>
      <c r="B1" s="34"/>
      <c r="C1" s="34"/>
      <c r="D1" s="34"/>
      <c r="E1" s="34"/>
      <c r="F1" s="34"/>
      <c r="G1" s="34"/>
      <c r="H1" s="34"/>
      <c r="I1" s="3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360736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273</v>
      </c>
      <c r="C9" s="16" t="str">
        <f>IF(B9="","",_xlfn.TEXTAFTER(_xlfn.TEXTBEFORE(B9,"_Exp"),"Fokus_"))</f>
        <v>0_97</v>
      </c>
      <c r="D9" s="16" t="str">
        <f>IF(B9="","",SUBSTITUTE(LEFT(_xlfn.TEXTAFTER(B9,"_Exp_"),FIND(".",_xlfn.TEXTAFTER(B9,"_Exp_"))-1),"_CUT",""))</f>
        <v>0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274</v>
      </c>
      <c r="C10" s="16" t="str">
        <f t="shared" ref="C10:C28" si="1">IF(B10="","",_xlfn.TEXTAFTER(_xlfn.TEXTBEFORE(B10,"_Exp"),"Fokus_"))</f>
        <v>0_97</v>
      </c>
      <c r="D10" s="16" t="str">
        <f t="shared" ref="D10:D28" si="2">IF(B10="","",SUBSTITUTE(LEFT(_xlfn.TEXTAFTER(B10,"_Exp_"),FIND(".",_xlfn.TEXTAFTER(B10,"_Exp_"))-1),"_CUT",""))</f>
        <v>-5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275</v>
      </c>
      <c r="C11" s="16" t="str">
        <f t="shared" si="1"/>
        <v>0_97</v>
      </c>
      <c r="D11" s="16" t="str">
        <f t="shared" si="2"/>
        <v>-7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276</v>
      </c>
      <c r="C12" s="16" t="str">
        <f t="shared" si="1"/>
        <v>0_97</v>
      </c>
      <c r="D12" s="16" t="str">
        <f t="shared" si="2"/>
        <v>-7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277</v>
      </c>
      <c r="C13" s="16" t="str">
        <f t="shared" si="1"/>
        <v>0_97</v>
      </c>
      <c r="D13" s="16" t="str">
        <f t="shared" si="2"/>
        <v>3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278</v>
      </c>
      <c r="C14" s="16" t="str">
        <f t="shared" si="1"/>
        <v>0_9</v>
      </c>
      <c r="D14" s="16" t="str">
        <f t="shared" si="2"/>
        <v>3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279</v>
      </c>
      <c r="C15" s="16" t="str">
        <f t="shared" si="1"/>
        <v>0_9</v>
      </c>
      <c r="D15" s="16" t="str">
        <f t="shared" si="2"/>
        <v>-2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280</v>
      </c>
      <c r="C16" s="16" t="str">
        <f t="shared" si="1"/>
        <v>0_81</v>
      </c>
      <c r="D16" s="16" t="str">
        <f t="shared" si="2"/>
        <v>-6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281</v>
      </c>
      <c r="C17" s="16" t="str">
        <f t="shared" si="1"/>
        <v>0_81</v>
      </c>
      <c r="D17" s="16" t="str">
        <f t="shared" si="2"/>
        <v>-6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282</v>
      </c>
      <c r="C18" s="16" t="str">
        <f t="shared" si="1"/>
        <v>0_79</v>
      </c>
      <c r="D18" s="16" t="str">
        <f t="shared" si="2"/>
        <v>-3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/>
      <c r="C19" s="16" t="str">
        <f t="shared" si="1"/>
        <v/>
      </c>
      <c r="D19" s="16" t="str">
        <f t="shared" si="2"/>
        <v/>
      </c>
      <c r="E19" s="16" t="str">
        <f t="shared" si="0"/>
        <v/>
      </c>
      <c r="F19" s="16"/>
      <c r="G19" s="16"/>
      <c r="H19" s="19"/>
    </row>
    <row r="20" spans="1:8" x14ac:dyDescent="0.45">
      <c r="A20" s="18">
        <v>12</v>
      </c>
      <c r="B20" s="17"/>
      <c r="C20" s="16" t="str">
        <f t="shared" si="1"/>
        <v/>
      </c>
      <c r="D20" s="16" t="str">
        <f t="shared" si="2"/>
        <v/>
      </c>
      <c r="E20" s="16" t="str">
        <f t="shared" si="0"/>
        <v/>
      </c>
      <c r="F20" s="16"/>
      <c r="G20" s="16"/>
      <c r="H20" s="19"/>
    </row>
    <row r="21" spans="1:8" x14ac:dyDescent="0.45">
      <c r="A21" s="18">
        <v>13</v>
      </c>
      <c r="B21" s="17"/>
      <c r="C21" s="16" t="str">
        <f t="shared" si="1"/>
        <v/>
      </c>
      <c r="D21" s="16" t="str">
        <f t="shared" si="2"/>
        <v/>
      </c>
      <c r="E21" s="16" t="str">
        <f t="shared" si="0"/>
        <v/>
      </c>
      <c r="F21" s="16"/>
      <c r="G21" s="16"/>
      <c r="H21" s="19"/>
    </row>
    <row r="22" spans="1:8" x14ac:dyDescent="0.45">
      <c r="A22" s="18">
        <v>14</v>
      </c>
      <c r="B22" s="17"/>
      <c r="C22" s="16" t="str">
        <f t="shared" si="1"/>
        <v/>
      </c>
      <c r="D22" s="16" t="str">
        <f t="shared" si="2"/>
        <v/>
      </c>
      <c r="E22" s="16" t="str">
        <f>IF(B22="","",IF(ISERROR(FIND("LampaON",B22)),"OFF","ON"))</f>
        <v/>
      </c>
      <c r="F22" s="16"/>
      <c r="G22" s="16"/>
      <c r="H22" s="19"/>
    </row>
    <row r="23" spans="1:8" x14ac:dyDescent="0.45">
      <c r="A23" s="18">
        <v>15</v>
      </c>
      <c r="B23" s="17"/>
      <c r="C23" s="16" t="str">
        <f t="shared" si="1"/>
        <v/>
      </c>
      <c r="D23" s="16" t="str">
        <f t="shared" si="2"/>
        <v/>
      </c>
      <c r="E23" s="16" t="str">
        <f t="shared" ref="E23:E28" si="3">IF(B23="","",IF(ISERROR(FIND("LampaON",B23)),"OFF","ON"))</f>
        <v/>
      </c>
      <c r="F23" s="16"/>
      <c r="G23" s="16"/>
      <c r="H23" s="19"/>
    </row>
    <row r="24" spans="1:8" x14ac:dyDescent="0.45">
      <c r="A24" s="18">
        <v>16</v>
      </c>
      <c r="B24" s="17"/>
      <c r="C24" s="16" t="str">
        <f t="shared" si="1"/>
        <v/>
      </c>
      <c r="D24" s="16" t="str">
        <f t="shared" si="2"/>
        <v/>
      </c>
      <c r="E24" s="16" t="str">
        <f t="shared" si="3"/>
        <v/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6:H6"/>
    <mergeCell ref="A1:I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690B817-3D92-413F-84ED-086023B90F4A}">
          <x14:formula1>
            <xm:f>Dane!$C$2:$C$3</xm:f>
          </x14:formula1>
          <xm:sqref>E4:H4</xm:sqref>
        </x14:dataValidation>
        <x14:dataValidation type="list" allowBlank="1" showInputMessage="1" showErrorMessage="1" xr:uid="{B7A0451E-2BAA-4226-A416-9CCF208F1B11}">
          <x14:formula1>
            <xm:f>Dane!$A$11:$A$25</xm:f>
          </x14:formula1>
          <xm:sqref>D4</xm:sqref>
        </x14:dataValidation>
        <x14:dataValidation type="list" allowBlank="1" showInputMessage="1" showErrorMessage="1" xr:uid="{DE65D07A-EAE0-43C1-BA1E-376BC4C68478}">
          <x14:formula1>
            <xm:f>Dane!$A$6:$A$8</xm:f>
          </x14:formula1>
          <xm:sqref>C4</xm:sqref>
        </x14:dataValidation>
        <x14:dataValidation type="list" allowBlank="1" showInputMessage="1" showErrorMessage="1" xr:uid="{DC12F519-B0A7-4B84-92D0-A9AE55279C64}">
          <x14:formula1>
            <xm:f>Dane!$A$2:$A$3</xm:f>
          </x14:formula1>
          <xm:sqref>A4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82E4A-7A8F-4EA3-B884-70C44258636F}">
  <sheetPr codeName="Arkusz18"/>
  <dimension ref="A1:X28"/>
  <sheetViews>
    <sheetView workbookViewId="0">
      <selection activeCell="G4" sqref="G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14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21</v>
      </c>
      <c r="B4" s="14">
        <v>20</v>
      </c>
      <c r="C4" s="14" t="s">
        <v>37</v>
      </c>
      <c r="D4" s="14" t="s">
        <v>45</v>
      </c>
      <c r="E4" s="14" t="s">
        <v>23</v>
      </c>
      <c r="F4" s="14" t="s">
        <v>22</v>
      </c>
      <c r="G4" s="14" t="s">
        <v>23</v>
      </c>
      <c r="H4" s="14" t="s">
        <v>22</v>
      </c>
      <c r="I4" s="15">
        <v>355661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283</v>
      </c>
      <c r="C9" s="16" t="str">
        <f>IF(B9="","",_xlfn.TEXTAFTER(_xlfn.TEXTBEFORE(B9,"_Exp"),"Fokus_"))</f>
        <v>0_79</v>
      </c>
      <c r="D9" s="16" t="str">
        <f>IF(B9="","",SUBSTITUTE(LEFT(_xlfn.TEXTAFTER(B9,"_Exp_"),FIND(".",_xlfn.TEXTAFTER(B9,"_Exp_"))-1),"_CUT",""))</f>
        <v>0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284</v>
      </c>
      <c r="C10" s="16" t="str">
        <f t="shared" ref="C10:C28" si="1">IF(B10="","",_xlfn.TEXTAFTER(_xlfn.TEXTBEFORE(B10,"_Exp"),"Fokus_"))</f>
        <v>0_79</v>
      </c>
      <c r="D10" s="16" t="str">
        <f t="shared" ref="D10:D28" si="2">IF(B10="","",SUBSTITUTE(LEFT(_xlfn.TEXTAFTER(B10,"_Exp_"),FIND(".",_xlfn.TEXTAFTER(B10,"_Exp_"))-1),"_CUT",""))</f>
        <v>-7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285</v>
      </c>
      <c r="C11" s="16" t="str">
        <f t="shared" si="1"/>
        <v>0_77</v>
      </c>
      <c r="D11" s="16" t="str">
        <f t="shared" si="2"/>
        <v>-7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286</v>
      </c>
      <c r="C12" s="16" t="str">
        <f t="shared" si="1"/>
        <v>0_77</v>
      </c>
      <c r="D12" s="16" t="str">
        <f t="shared" si="2"/>
        <v>-7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287</v>
      </c>
      <c r="C13" s="16" t="str">
        <f t="shared" si="1"/>
        <v>0_77</v>
      </c>
      <c r="D13" s="16" t="str">
        <f t="shared" si="2"/>
        <v>-5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288</v>
      </c>
      <c r="C14" s="16" t="str">
        <f t="shared" si="1"/>
        <v>0_84</v>
      </c>
      <c r="D14" s="16" t="str">
        <f t="shared" si="2"/>
        <v>-5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289</v>
      </c>
      <c r="C15" s="16" t="str">
        <f t="shared" si="1"/>
        <v>0_79</v>
      </c>
      <c r="D15" s="16" t="str">
        <f t="shared" si="2"/>
        <v>-5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290</v>
      </c>
      <c r="C16" s="16" t="str">
        <f t="shared" si="1"/>
        <v>0_79</v>
      </c>
      <c r="D16" s="16" t="str">
        <f t="shared" si="2"/>
        <v>-7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291</v>
      </c>
      <c r="C17" s="16" t="str">
        <f t="shared" si="1"/>
        <v>0_79</v>
      </c>
      <c r="D17" s="16" t="str">
        <f t="shared" si="2"/>
        <v>-2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292</v>
      </c>
      <c r="C18" s="16" t="str">
        <f t="shared" si="1"/>
        <v>0_79</v>
      </c>
      <c r="D18" s="16" t="str">
        <f t="shared" si="2"/>
        <v>-1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293</v>
      </c>
      <c r="C19" s="16" t="str">
        <f t="shared" si="1"/>
        <v>0_79</v>
      </c>
      <c r="D19" s="16" t="str">
        <f t="shared" si="2"/>
        <v>2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294</v>
      </c>
      <c r="C20" s="16" t="str">
        <f t="shared" si="1"/>
        <v>0_71</v>
      </c>
      <c r="D20" s="16" t="str">
        <f t="shared" si="2"/>
        <v>2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295</v>
      </c>
      <c r="C21" s="16" t="str">
        <f t="shared" si="1"/>
        <v>0_71</v>
      </c>
      <c r="D21" s="16" t="str">
        <f t="shared" si="2"/>
        <v>-6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296</v>
      </c>
      <c r="C22" s="16" t="str">
        <f t="shared" si="1"/>
        <v>0_73</v>
      </c>
      <c r="D22" s="16" t="str">
        <f t="shared" si="2"/>
        <v>-6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297</v>
      </c>
      <c r="C23" s="16" t="str">
        <f t="shared" si="1"/>
        <v>0_73</v>
      </c>
      <c r="D23" s="16" t="str">
        <f t="shared" si="2"/>
        <v>-3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298</v>
      </c>
      <c r="C24" s="16" t="str">
        <f t="shared" si="1"/>
        <v>0_73</v>
      </c>
      <c r="D24" s="16" t="str">
        <f t="shared" si="2"/>
        <v>-9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299</v>
      </c>
      <c r="C25" s="16" t="str">
        <f t="shared" si="1"/>
        <v>0_73</v>
      </c>
      <c r="D25" s="16" t="str">
        <f t="shared" si="2"/>
        <v>-9</v>
      </c>
      <c r="E25" s="16" t="str">
        <f t="shared" si="3"/>
        <v>OFF</v>
      </c>
      <c r="F25" s="16"/>
      <c r="G25" s="16"/>
      <c r="H25" s="19"/>
    </row>
    <row r="26" spans="1:8" x14ac:dyDescent="0.45">
      <c r="A26" s="18">
        <v>18</v>
      </c>
      <c r="B26" s="17" t="s">
        <v>300</v>
      </c>
      <c r="C26" s="16" t="str">
        <f t="shared" si="1"/>
        <v>0_73</v>
      </c>
      <c r="D26" s="16" t="str">
        <f t="shared" si="2"/>
        <v>3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301</v>
      </c>
      <c r="C27" s="16" t="str">
        <f t="shared" si="1"/>
        <v>0_73</v>
      </c>
      <c r="D27" s="16" t="str">
        <f t="shared" si="2"/>
        <v>1</v>
      </c>
      <c r="E27" s="16" t="str">
        <f t="shared" si="3"/>
        <v>OFF</v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9D35D-7EE9-482E-B122-C757AA1C0B34}">
          <x14:formula1>
            <xm:f>Dane!$C$2:$C$3</xm:f>
          </x14:formula1>
          <xm:sqref>E4:H4</xm:sqref>
        </x14:dataValidation>
        <x14:dataValidation type="list" allowBlank="1" showInputMessage="1" showErrorMessage="1" xr:uid="{266490FF-CC07-465E-8CC8-F988F109E16A}">
          <x14:formula1>
            <xm:f>Dane!$A$11:$A$25</xm:f>
          </x14:formula1>
          <xm:sqref>D4</xm:sqref>
        </x14:dataValidation>
        <x14:dataValidation type="list" allowBlank="1" showInputMessage="1" showErrorMessage="1" xr:uid="{88BA323D-32AF-4B6A-ACE7-C7017318C209}">
          <x14:formula1>
            <xm:f>Dane!$A$6:$A$8</xm:f>
          </x14:formula1>
          <xm:sqref>C4</xm:sqref>
        </x14:dataValidation>
        <x14:dataValidation type="list" allowBlank="1" showInputMessage="1" showErrorMessage="1" xr:uid="{95AF3BC1-6D89-4349-B539-FDE9906A46F8}">
          <x14:formula1>
            <xm:f>Dane!$A$2:$A$3</xm:f>
          </x14:formula1>
          <xm:sqref>A4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B537-E84D-4CBF-87FC-5E669892419D}">
  <sheetPr codeName="Arkusz19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16384" width="9.06640625" style="1"/>
  </cols>
  <sheetData>
    <row r="1" spans="1:24" ht="21.4" thickBot="1" x14ac:dyDescent="0.5">
      <c r="A1" s="30">
        <v>15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21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22</v>
      </c>
      <c r="G4" s="14" t="s">
        <v>23</v>
      </c>
      <c r="H4" s="14" t="s">
        <v>22</v>
      </c>
      <c r="I4" s="15">
        <v>355333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302</v>
      </c>
      <c r="C9" s="16" t="str">
        <f>IF(B9="","",_xlfn.TEXTAFTER(_xlfn.TEXTBEFORE(B9,"_Exp"),"Fokus_"))</f>
        <v>0_83</v>
      </c>
      <c r="D9" s="16" t="str">
        <f>IF(B9="","",SUBSTITUTE(LEFT(_xlfn.TEXTAFTER(B9,"_Exp_"),FIND(".",_xlfn.TEXTAFTER(B9,"_Exp_"))-1),"_CUT",""))</f>
        <v>1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303</v>
      </c>
      <c r="C10" s="16" t="str">
        <f t="shared" ref="C10:C28" si="1">IF(B10="","",_xlfn.TEXTAFTER(_xlfn.TEXTBEFORE(B10,"_Exp"),"Fokus_"))</f>
        <v>0_83</v>
      </c>
      <c r="D10" s="16" t="str">
        <f t="shared" ref="D10:D28" si="2">IF(B10="","",SUBSTITUTE(LEFT(_xlfn.TEXTAFTER(B10,"_Exp_"),FIND(".",_xlfn.TEXTAFTER(B10,"_Exp_"))-1),"_CUT",""))</f>
        <v>-6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304</v>
      </c>
      <c r="C11" s="16" t="str">
        <f t="shared" si="1"/>
        <v>0_83</v>
      </c>
      <c r="D11" s="16" t="str">
        <f t="shared" si="2"/>
        <v>-6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305</v>
      </c>
      <c r="C12" s="16" t="str">
        <f t="shared" si="1"/>
        <v>0_8</v>
      </c>
      <c r="D12" s="16" t="str">
        <f t="shared" si="2"/>
        <v>-6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306</v>
      </c>
      <c r="C13" s="16" t="str">
        <f t="shared" si="1"/>
        <v>0_8</v>
      </c>
      <c r="D13" s="16" t="str">
        <f t="shared" si="2"/>
        <v>2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307</v>
      </c>
      <c r="C14" s="16" t="str">
        <f t="shared" si="1"/>
        <v>0_78</v>
      </c>
      <c r="D14" s="16" t="str">
        <f t="shared" si="2"/>
        <v>0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308</v>
      </c>
      <c r="C15" s="16" t="str">
        <f t="shared" si="1"/>
        <v>0_68</v>
      </c>
      <c r="D15" s="16" t="str">
        <f t="shared" si="2"/>
        <v>0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309</v>
      </c>
      <c r="C16" s="16" t="str">
        <f t="shared" si="1"/>
        <v>0_68</v>
      </c>
      <c r="D16" s="16" t="str">
        <f t="shared" si="2"/>
        <v>-6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310</v>
      </c>
      <c r="C17" s="16" t="str">
        <f t="shared" si="1"/>
        <v>0_68</v>
      </c>
      <c r="D17" s="16" t="str">
        <f t="shared" si="2"/>
        <v>-6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311</v>
      </c>
      <c r="C18" s="16" t="str">
        <f t="shared" si="1"/>
        <v>0_68</v>
      </c>
      <c r="D18" s="16" t="str">
        <f t="shared" si="2"/>
        <v>5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312</v>
      </c>
      <c r="C19" s="16" t="str">
        <f t="shared" si="1"/>
        <v>0_73</v>
      </c>
      <c r="D19" s="16" t="str">
        <f t="shared" si="2"/>
        <v>5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313</v>
      </c>
      <c r="C20" s="16" t="str">
        <f t="shared" si="1"/>
        <v>0_73</v>
      </c>
      <c r="D20" s="16" t="str">
        <f t="shared" si="2"/>
        <v>-4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314</v>
      </c>
      <c r="C21" s="16" t="str">
        <f t="shared" si="1"/>
        <v>0_73</v>
      </c>
      <c r="D21" s="16" t="str">
        <f t="shared" si="2"/>
        <v>-4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315</v>
      </c>
      <c r="C22" s="16" t="str">
        <f t="shared" si="1"/>
        <v>0_79</v>
      </c>
      <c r="D22" s="16" t="str">
        <f t="shared" si="2"/>
        <v>-4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316</v>
      </c>
      <c r="C23" s="16" t="str">
        <f t="shared" si="1"/>
        <v>0_79</v>
      </c>
      <c r="D23" s="16" t="str">
        <f t="shared" si="2"/>
        <v>-8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317</v>
      </c>
      <c r="C24" s="16" t="str">
        <f t="shared" si="1"/>
        <v>0_79</v>
      </c>
      <c r="D24" s="16" t="str">
        <f t="shared" si="2"/>
        <v>-1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318</v>
      </c>
      <c r="C25" s="16" t="str">
        <f t="shared" si="1"/>
        <v>0_79</v>
      </c>
      <c r="D25" s="16" t="str">
        <f t="shared" si="2"/>
        <v>4</v>
      </c>
      <c r="E25" s="16" t="str">
        <f t="shared" si="3"/>
        <v>OFF</v>
      </c>
      <c r="F25" s="16"/>
      <c r="G25" s="16"/>
      <c r="H25" s="19"/>
    </row>
    <row r="26" spans="1:8" x14ac:dyDescent="0.45">
      <c r="A26" s="18">
        <v>18</v>
      </c>
      <c r="B26" s="17" t="s">
        <v>319</v>
      </c>
      <c r="C26" s="16" t="str">
        <f t="shared" si="1"/>
        <v>0_79</v>
      </c>
      <c r="D26" s="16" t="str">
        <f t="shared" si="2"/>
        <v>-7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320</v>
      </c>
      <c r="C27" s="16" t="str">
        <f t="shared" si="1"/>
        <v>0_85</v>
      </c>
      <c r="D27" s="16" t="str">
        <f t="shared" si="2"/>
        <v>-7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EB31DE-64B4-47C3-A6DF-71624061EE2F}">
          <x14:formula1>
            <xm:f>Dane!$C$2:$C$3</xm:f>
          </x14:formula1>
          <xm:sqref>E4:H4</xm:sqref>
        </x14:dataValidation>
        <x14:dataValidation type="list" allowBlank="1" showInputMessage="1" showErrorMessage="1" xr:uid="{7B6A40DC-44F6-4B00-962C-D666D8FCA23B}">
          <x14:formula1>
            <xm:f>Dane!$A$11:$A$25</xm:f>
          </x14:formula1>
          <xm:sqref>D4</xm:sqref>
        </x14:dataValidation>
        <x14:dataValidation type="list" allowBlank="1" showInputMessage="1" showErrorMessage="1" xr:uid="{D7D6EF49-9035-4AC6-9D8C-91C5594FD106}">
          <x14:formula1>
            <xm:f>Dane!$A$6:$A$8</xm:f>
          </x14:formula1>
          <xm:sqref>C4</xm:sqref>
        </x14:dataValidation>
        <x14:dataValidation type="list" allowBlank="1" showInputMessage="1" showErrorMessage="1" xr:uid="{3591CE0C-F33A-4AE2-9F49-75249923692A}">
          <x14:formula1>
            <xm:f>Dane!$A$2:$A$3</xm:f>
          </x14:formula1>
          <xm:sqref>A4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91A13-7A97-402F-AF08-E354141DDC43}">
  <sheetPr codeName="Arkusz20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16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23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355270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321</v>
      </c>
      <c r="C9" s="16" t="str">
        <f>IF(B9="","",_xlfn.TEXTAFTER(_xlfn.TEXTBEFORE(B9,"_Exp"),"Fokus_"))</f>
        <v>0_75</v>
      </c>
      <c r="D9" s="16" t="str">
        <f>IF(B9="","",SUBSTITUTE(LEFT(_xlfn.TEXTAFTER(B9,"_Exp_"),FIND(".",_xlfn.TEXTAFTER(B9,"_Exp_"))-1),"_CUT",""))</f>
        <v>-7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322</v>
      </c>
      <c r="C10" s="16" t="str">
        <f t="shared" ref="C10:C28" si="1">IF(B10="","",_xlfn.TEXTAFTER(_xlfn.TEXTBEFORE(B10,"_Exp"),"Fokus_"))</f>
        <v>0_75</v>
      </c>
      <c r="D10" s="16" t="str">
        <f t="shared" ref="D10:D28" si="2">IF(B10="","",SUBSTITUTE(LEFT(_xlfn.TEXTAFTER(B10,"_Exp_"),FIND(".",_xlfn.TEXTAFTER(B10,"_Exp_"))-1),"_CUT",""))</f>
        <v>-9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323</v>
      </c>
      <c r="C11" s="16" t="str">
        <f t="shared" si="1"/>
        <v>0_75</v>
      </c>
      <c r="D11" s="16" t="str">
        <f t="shared" si="2"/>
        <v>0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324</v>
      </c>
      <c r="C12" s="16" t="str">
        <f t="shared" si="1"/>
        <v>0_75</v>
      </c>
      <c r="D12" s="16" t="str">
        <f t="shared" si="2"/>
        <v>3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325</v>
      </c>
      <c r="C13" s="16" t="str">
        <f t="shared" si="1"/>
        <v>0_75</v>
      </c>
      <c r="D13" s="16" t="str">
        <f t="shared" si="2"/>
        <v>3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326</v>
      </c>
      <c r="C14" s="16" t="str">
        <f t="shared" si="1"/>
        <v>0_75</v>
      </c>
      <c r="D14" s="16" t="str">
        <f t="shared" si="2"/>
        <v>-2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327</v>
      </c>
      <c r="C15" s="16" t="str">
        <f t="shared" si="1"/>
        <v>0_75</v>
      </c>
      <c r="D15" s="16" t="str">
        <f t="shared" si="2"/>
        <v>-5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328</v>
      </c>
      <c r="C16" s="16" t="str">
        <f t="shared" si="1"/>
        <v>0_62</v>
      </c>
      <c r="D16" s="16" t="str">
        <f t="shared" si="2"/>
        <v>-5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329</v>
      </c>
      <c r="C17" s="16" t="str">
        <f t="shared" si="1"/>
        <v>0_62</v>
      </c>
      <c r="D17" s="16" t="str">
        <f t="shared" si="2"/>
        <v>-1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330</v>
      </c>
      <c r="C18" s="16" t="str">
        <f t="shared" si="1"/>
        <v>0_62</v>
      </c>
      <c r="D18" s="16" t="str">
        <f t="shared" si="2"/>
        <v>-9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331</v>
      </c>
      <c r="C19" s="16" t="str">
        <f t="shared" si="1"/>
        <v>0_68</v>
      </c>
      <c r="D19" s="16" t="str">
        <f t="shared" si="2"/>
        <v>-9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332</v>
      </c>
      <c r="C20" s="16" t="str">
        <f t="shared" si="1"/>
        <v>0_68</v>
      </c>
      <c r="D20" s="16" t="str">
        <f t="shared" si="2"/>
        <v>-4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333</v>
      </c>
      <c r="C21" s="16" t="str">
        <f t="shared" si="1"/>
        <v>0_68</v>
      </c>
      <c r="D21" s="16" t="str">
        <f t="shared" si="2"/>
        <v>-1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334</v>
      </c>
      <c r="C22" s="16" t="str">
        <f t="shared" si="1"/>
        <v>0_94</v>
      </c>
      <c r="D22" s="16" t="str">
        <f t="shared" si="2"/>
        <v>-1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335</v>
      </c>
      <c r="C23" s="16" t="str">
        <f t="shared" si="1"/>
        <v>0_94</v>
      </c>
      <c r="D23" s="16" t="str">
        <f t="shared" si="2"/>
        <v>-4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336</v>
      </c>
      <c r="C24" s="16" t="str">
        <f t="shared" si="1"/>
        <v>0_93</v>
      </c>
      <c r="D24" s="16" t="str">
        <f t="shared" si="2"/>
        <v>-4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337</v>
      </c>
      <c r="C25" s="16" t="str">
        <f t="shared" si="1"/>
        <v>0_93</v>
      </c>
      <c r="D25" s="16" t="str">
        <f t="shared" si="2"/>
        <v>-2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338</v>
      </c>
      <c r="C26" s="16" t="str">
        <f t="shared" si="1"/>
        <v>0_93</v>
      </c>
      <c r="D26" s="16" t="str">
        <f t="shared" si="2"/>
        <v>-6</v>
      </c>
      <c r="E26" s="16" t="str">
        <f t="shared" si="3"/>
        <v>ON</v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6B285F-D9A2-4098-8FE1-4C456C9130F9}">
          <x14:formula1>
            <xm:f>Dane!$C$2:$C$3</xm:f>
          </x14:formula1>
          <xm:sqref>E4:H4</xm:sqref>
        </x14:dataValidation>
        <x14:dataValidation type="list" allowBlank="1" showInputMessage="1" showErrorMessage="1" xr:uid="{259159C5-050E-4AE6-8974-A5F6AF34C6B1}">
          <x14:formula1>
            <xm:f>Dane!$A$11:$A$25</xm:f>
          </x14:formula1>
          <xm:sqref>D4</xm:sqref>
        </x14:dataValidation>
        <x14:dataValidation type="list" allowBlank="1" showInputMessage="1" showErrorMessage="1" xr:uid="{41BE9A78-7954-48B0-9C41-FBC2D675102B}">
          <x14:formula1>
            <xm:f>Dane!$A$6:$A$8</xm:f>
          </x14:formula1>
          <xm:sqref>C4</xm:sqref>
        </x14:dataValidation>
        <x14:dataValidation type="list" allowBlank="1" showInputMessage="1" showErrorMessage="1" xr:uid="{CBE1917C-F0DD-4DB7-8285-88A347916214}">
          <x14:formula1>
            <xm:f>Dane!$A$2:$A$3</xm:f>
          </x14:formula1>
          <xm:sqref>A4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CAC24-0267-45DD-9A31-DECFD2C1C763}">
  <sheetPr codeName="Arkusz21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17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22</v>
      </c>
      <c r="C4" s="14" t="s">
        <v>37</v>
      </c>
      <c r="D4" s="14" t="s">
        <v>57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357873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339</v>
      </c>
      <c r="C9" s="16" t="str">
        <f>IF(B9="","",_xlfn.TEXTAFTER(_xlfn.TEXTBEFORE(B9,"_Exp"),"Fokus_"))</f>
        <v>0_88</v>
      </c>
      <c r="D9" s="16" t="str">
        <f>IF(B9="","",SUBSTITUTE(LEFT(_xlfn.TEXTAFTER(B9,"_Exp_"),FIND(".",_xlfn.TEXTAFTER(B9,"_Exp_"))-1),"_CUT",""))</f>
        <v>-4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340</v>
      </c>
      <c r="C10" s="16" t="str">
        <f t="shared" ref="C10:C28" si="1">IF(B10="","",_xlfn.TEXTAFTER(_xlfn.TEXTBEFORE(B10,"_Exp"),"Fokus_"))</f>
        <v>0_96</v>
      </c>
      <c r="D10" s="16" t="str">
        <f t="shared" ref="D10:D28" si="2">IF(B10="","",SUBSTITUTE(LEFT(_xlfn.TEXTAFTER(B10,"_Exp_"),FIND(".",_xlfn.TEXTAFTER(B10,"_Exp_"))-1),"_CUT",""))</f>
        <v>-4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341</v>
      </c>
      <c r="C11" s="16" t="str">
        <f t="shared" si="1"/>
        <v>0_96</v>
      </c>
      <c r="D11" s="16" t="str">
        <f t="shared" si="2"/>
        <v>1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342</v>
      </c>
      <c r="C12" s="16" t="str">
        <f t="shared" si="1"/>
        <v>0_96</v>
      </c>
      <c r="D12" s="16" t="str">
        <f t="shared" si="2"/>
        <v>1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343</v>
      </c>
      <c r="C13" s="16" t="str">
        <f t="shared" si="1"/>
        <v>0_81</v>
      </c>
      <c r="D13" s="16" t="str">
        <f t="shared" si="2"/>
        <v>-3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344</v>
      </c>
      <c r="C14" s="16" t="str">
        <f t="shared" si="1"/>
        <v>0_76</v>
      </c>
      <c r="D14" s="16" t="str">
        <f t="shared" si="2"/>
        <v>-3</v>
      </c>
      <c r="E14" s="16" t="str">
        <f t="shared" si="0"/>
        <v>ON</v>
      </c>
      <c r="F14" s="16"/>
      <c r="G14" s="16"/>
      <c r="H14" s="19"/>
    </row>
    <row r="15" spans="1:24" x14ac:dyDescent="0.45">
      <c r="A15" s="18">
        <v>7</v>
      </c>
      <c r="B15" s="17" t="s">
        <v>345</v>
      </c>
      <c r="C15" s="16" t="str">
        <f t="shared" si="1"/>
        <v>0_78</v>
      </c>
      <c r="D15" s="16" t="str">
        <f t="shared" si="2"/>
        <v>-5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346</v>
      </c>
      <c r="C16" s="16" t="str">
        <f t="shared" si="1"/>
        <v>0_78</v>
      </c>
      <c r="D16" s="16" t="str">
        <f t="shared" si="2"/>
        <v>-7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347</v>
      </c>
      <c r="C17" s="16" t="str">
        <f t="shared" si="1"/>
        <v>0_91</v>
      </c>
      <c r="D17" s="16" t="str">
        <f t="shared" si="2"/>
        <v>-7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348</v>
      </c>
      <c r="C18" s="16" t="str">
        <f t="shared" si="1"/>
        <v>0_91</v>
      </c>
      <c r="D18" s="16" t="str">
        <f t="shared" si="2"/>
        <v>5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349</v>
      </c>
      <c r="C19" s="16" t="str">
        <f t="shared" si="1"/>
        <v>0_91</v>
      </c>
      <c r="D19" s="16" t="str">
        <f t="shared" si="2"/>
        <v>1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350</v>
      </c>
      <c r="C20" s="16" t="str">
        <f t="shared" si="1"/>
        <v>0_91</v>
      </c>
      <c r="D20" s="16" t="str">
        <f t="shared" si="2"/>
        <v>-6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351</v>
      </c>
      <c r="C21" s="16" t="str">
        <f t="shared" si="1"/>
        <v>0_86</v>
      </c>
      <c r="D21" s="16" t="str">
        <f t="shared" si="2"/>
        <v>-6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352</v>
      </c>
      <c r="C22" s="16" t="str">
        <f t="shared" si="1"/>
        <v>0_86</v>
      </c>
      <c r="D22" s="16" t="str">
        <f t="shared" si="2"/>
        <v>-9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353</v>
      </c>
      <c r="C23" s="16" t="str">
        <f t="shared" si="1"/>
        <v>0_93</v>
      </c>
      <c r="D23" s="16" t="str">
        <f t="shared" si="2"/>
        <v>-9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354</v>
      </c>
      <c r="C24" s="16" t="str">
        <f t="shared" si="1"/>
        <v>0_89</v>
      </c>
      <c r="D24" s="16" t="str">
        <f t="shared" si="2"/>
        <v>5</v>
      </c>
      <c r="E24" s="16" t="str">
        <f t="shared" si="3"/>
        <v>OFF</v>
      </c>
      <c r="F24" s="16"/>
      <c r="G24" s="16"/>
      <c r="H24" s="19"/>
    </row>
    <row r="25" spans="1:8" x14ac:dyDescent="0.45">
      <c r="A25" s="18">
        <v>17</v>
      </c>
      <c r="B25" s="17"/>
      <c r="C25" s="16" t="str">
        <f t="shared" si="1"/>
        <v/>
      </c>
      <c r="D25" s="16" t="str">
        <f t="shared" si="2"/>
        <v/>
      </c>
      <c r="E25" s="16" t="str">
        <f t="shared" si="3"/>
        <v/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7E457F6-E04D-479C-B9D5-C0D2FE1F4EB3}">
          <x14:formula1>
            <xm:f>Dane!$C$2:$C$3</xm:f>
          </x14:formula1>
          <xm:sqref>E4:H4</xm:sqref>
        </x14:dataValidation>
        <x14:dataValidation type="list" allowBlank="1" showInputMessage="1" showErrorMessage="1" xr:uid="{E4D2AF28-619C-4D53-A229-4A20E222FA5C}">
          <x14:formula1>
            <xm:f>Dane!$A$11:$A$25</xm:f>
          </x14:formula1>
          <xm:sqref>D4</xm:sqref>
        </x14:dataValidation>
        <x14:dataValidation type="list" allowBlank="1" showInputMessage="1" showErrorMessage="1" xr:uid="{53BEF9AF-5849-4F8A-8444-F1FCD6D8DBB7}">
          <x14:formula1>
            <xm:f>Dane!$A$6:$A$8</xm:f>
          </x14:formula1>
          <xm:sqref>C4</xm:sqref>
        </x14:dataValidation>
        <x14:dataValidation type="list" allowBlank="1" showInputMessage="1" showErrorMessage="1" xr:uid="{75D6D84E-2DC7-4F04-B9BF-08958194257F}">
          <x14:formula1>
            <xm:f>Dane!$A$2:$A$3</xm:f>
          </x14:formula1>
          <xm:sqref>A4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B6BE-4D0E-4943-8458-E86B5CAFCE71}">
  <sheetPr codeName="Arkusz22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18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24</v>
      </c>
      <c r="C4" s="14" t="s">
        <v>38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357477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355</v>
      </c>
      <c r="C9" s="16" t="str">
        <f>IF(B9="","",_xlfn.TEXTAFTER(_xlfn.TEXTBEFORE(B9,"_Exp"),"Fokus_"))</f>
        <v>0_83</v>
      </c>
      <c r="D9" s="16" t="str">
        <f>IF(B9="","",SUBSTITUTE(LEFT(_xlfn.TEXTAFTER(B9,"_Exp_"),FIND(".",_xlfn.TEXTAFTER(B9,"_Exp_"))-1),"_CUT",""))</f>
        <v>-6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356</v>
      </c>
      <c r="C10" s="16" t="str">
        <f t="shared" ref="C10:C28" si="1">IF(B10="","",_xlfn.TEXTAFTER(_xlfn.TEXTBEFORE(B10,"_Exp"),"Fokus_"))</f>
        <v>0_83</v>
      </c>
      <c r="D10" s="16" t="str">
        <f t="shared" ref="D10:D28" si="2">IF(B10="","",SUBSTITUTE(LEFT(_xlfn.TEXTAFTER(B10,"_Exp_"),FIND(".",_xlfn.TEXTAFTER(B10,"_Exp_"))-1),"_CUT",""))</f>
        <v>-1</v>
      </c>
      <c r="E10" s="16" t="str">
        <f t="shared" si="0"/>
        <v>ON</v>
      </c>
      <c r="F10" s="16"/>
      <c r="G10" s="16"/>
      <c r="H10" s="19"/>
    </row>
    <row r="11" spans="1:24" x14ac:dyDescent="0.45">
      <c r="A11" s="18">
        <v>3</v>
      </c>
      <c r="B11" s="17" t="s">
        <v>357</v>
      </c>
      <c r="C11" s="16" t="str">
        <f t="shared" si="1"/>
        <v>0_83</v>
      </c>
      <c r="D11" s="16" t="str">
        <f t="shared" si="2"/>
        <v>4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358</v>
      </c>
      <c r="C12" s="16" t="str">
        <f t="shared" si="1"/>
        <v>0_83</v>
      </c>
      <c r="D12" s="16" t="str">
        <f t="shared" si="2"/>
        <v>4</v>
      </c>
      <c r="E12" s="16" t="str">
        <f t="shared" si="0"/>
        <v>OFF</v>
      </c>
      <c r="F12" s="16"/>
      <c r="G12" s="16"/>
      <c r="H12" s="19"/>
    </row>
    <row r="13" spans="1:24" x14ac:dyDescent="0.45">
      <c r="A13" s="18">
        <v>5</v>
      </c>
      <c r="B13" s="17" t="s">
        <v>359</v>
      </c>
      <c r="C13" s="16" t="str">
        <f t="shared" si="1"/>
        <v>0_83</v>
      </c>
      <c r="D13" s="16" t="str">
        <f t="shared" si="2"/>
        <v>-3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360</v>
      </c>
      <c r="C14" s="16" t="str">
        <f t="shared" si="1"/>
        <v>0_83</v>
      </c>
      <c r="D14" s="16" t="str">
        <f t="shared" si="2"/>
        <v>-9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361</v>
      </c>
      <c r="C15" s="16" t="str">
        <f t="shared" si="1"/>
        <v>0_84</v>
      </c>
      <c r="D15" s="16" t="str">
        <f t="shared" si="2"/>
        <v>-9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362</v>
      </c>
      <c r="C16" s="16" t="str">
        <f t="shared" si="1"/>
        <v>0_84</v>
      </c>
      <c r="D16" s="16" t="str">
        <f t="shared" si="2"/>
        <v>-4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363</v>
      </c>
      <c r="C17" s="16" t="str">
        <f t="shared" si="1"/>
        <v>0_84</v>
      </c>
      <c r="D17" s="16" t="str">
        <f t="shared" si="2"/>
        <v>2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364</v>
      </c>
      <c r="C18" s="16" t="str">
        <f t="shared" si="1"/>
        <v>0_84</v>
      </c>
      <c r="D18" s="16" t="str">
        <f t="shared" si="2"/>
        <v>2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365</v>
      </c>
      <c r="C19" s="16" t="str">
        <f t="shared" si="1"/>
        <v>0_84</v>
      </c>
      <c r="D19" s="16" t="str">
        <f t="shared" si="2"/>
        <v>-3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366</v>
      </c>
      <c r="C20" s="16" t="str">
        <f t="shared" si="1"/>
        <v>0_84</v>
      </c>
      <c r="D20" s="16" t="str">
        <f t="shared" si="2"/>
        <v>-8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367</v>
      </c>
      <c r="C21" s="16" t="str">
        <f t="shared" si="1"/>
        <v>0_79</v>
      </c>
      <c r="D21" s="16" t="str">
        <f t="shared" si="2"/>
        <v>-8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368</v>
      </c>
      <c r="C22" s="16" t="str">
        <f t="shared" si="1"/>
        <v>0_79</v>
      </c>
      <c r="D22" s="16" t="str">
        <f t="shared" si="2"/>
        <v>-2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369</v>
      </c>
      <c r="C23" s="16" t="str">
        <f t="shared" si="1"/>
        <v>0_79</v>
      </c>
      <c r="D23" s="16" t="str">
        <f t="shared" si="2"/>
        <v>-2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370</v>
      </c>
      <c r="C24" s="16" t="str">
        <f t="shared" si="1"/>
        <v>0_92</v>
      </c>
      <c r="D24" s="16" t="str">
        <f t="shared" si="2"/>
        <v>-2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371</v>
      </c>
      <c r="C25" s="16" t="str">
        <f t="shared" si="1"/>
        <v>0_92</v>
      </c>
      <c r="D25" s="16" t="str">
        <f t="shared" si="2"/>
        <v>-7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/>
      <c r="C26" s="16" t="str">
        <f t="shared" si="1"/>
        <v/>
      </c>
      <c r="D26" s="16" t="str">
        <f t="shared" si="2"/>
        <v/>
      </c>
      <c r="E26" s="16" t="str">
        <f t="shared" si="3"/>
        <v/>
      </c>
      <c r="F26" s="16"/>
      <c r="G26" s="16"/>
      <c r="H26" s="19"/>
    </row>
    <row r="27" spans="1:8" x14ac:dyDescent="0.45">
      <c r="A27" s="18">
        <v>19</v>
      </c>
      <c r="B27" s="17"/>
      <c r="C27" s="16" t="str">
        <f t="shared" si="1"/>
        <v/>
      </c>
      <c r="D27" s="16" t="str">
        <f t="shared" si="2"/>
        <v/>
      </c>
      <c r="E27" s="16" t="str">
        <f t="shared" si="3"/>
        <v/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9B831F0-143E-4207-B6C5-58864925F594}">
          <x14:formula1>
            <xm:f>Dane!$C$2:$C$3</xm:f>
          </x14:formula1>
          <xm:sqref>E4:H4</xm:sqref>
        </x14:dataValidation>
        <x14:dataValidation type="list" allowBlank="1" showInputMessage="1" showErrorMessage="1" xr:uid="{CC7F3151-D3FD-4D17-AA5E-6FA37F720199}">
          <x14:formula1>
            <xm:f>Dane!$A$11:$A$25</xm:f>
          </x14:formula1>
          <xm:sqref>D4</xm:sqref>
        </x14:dataValidation>
        <x14:dataValidation type="list" allowBlank="1" showInputMessage="1" showErrorMessage="1" xr:uid="{818BC308-0233-45E3-88E0-DBE81CC4FE12}">
          <x14:formula1>
            <xm:f>Dane!$A$6:$A$8</xm:f>
          </x14:formula1>
          <xm:sqref>C4</xm:sqref>
        </x14:dataValidation>
        <x14:dataValidation type="list" allowBlank="1" showInputMessage="1" showErrorMessage="1" xr:uid="{1AA72158-EE52-4119-A57E-4E21AB215254}">
          <x14:formula1>
            <xm:f>Dane!$A$2:$A$3</xm:f>
          </x14:formula1>
          <xm:sqref>A4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35FF-80E4-4531-B5F8-DB2813035622}">
  <sheetPr codeName="Arkusz23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8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19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22</v>
      </c>
      <c r="C4" s="14" t="s">
        <v>37</v>
      </c>
      <c r="D4" s="14" t="s">
        <v>47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354775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372</v>
      </c>
      <c r="C9" s="16" t="str">
        <f>IF(B9="","",_xlfn.TEXTAFTER(_xlfn.TEXTBEFORE(B9,"_Exp"),"Fokus_"))</f>
        <v>1_0</v>
      </c>
      <c r="D9" s="16" t="str">
        <f>IF(B9="","",SUBSTITUTE(LEFT(_xlfn.TEXTAFTER(B9,"_Exp_"),FIND(".",_xlfn.TEXTAFTER(B9,"_Exp_"))-1),"_CUT",""))</f>
        <v>-7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373</v>
      </c>
      <c r="C10" s="16" t="str">
        <f t="shared" ref="C10:C28" si="1">IF(B10="","",_xlfn.TEXTAFTER(_xlfn.TEXTBEFORE(B10,"_Exp"),"Fokus_"))</f>
        <v>1_0</v>
      </c>
      <c r="D10" s="16" t="str">
        <f t="shared" ref="D10:D28" si="2">IF(B10="","",SUBSTITUTE(LEFT(_xlfn.TEXTAFTER(B10,"_Exp_"),FIND(".",_xlfn.TEXTAFTER(B10,"_Exp_"))-1),"_CUT",""))</f>
        <v>-12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374</v>
      </c>
      <c r="C11" s="16" t="str">
        <f t="shared" si="1"/>
        <v>1_0</v>
      </c>
      <c r="D11" s="16" t="str">
        <f t="shared" si="2"/>
        <v>-6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375</v>
      </c>
      <c r="C12" s="16" t="str">
        <f t="shared" si="1"/>
        <v>1_0</v>
      </c>
      <c r="D12" s="16" t="str">
        <f t="shared" si="2"/>
        <v>-6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376</v>
      </c>
      <c r="C13" s="16" t="str">
        <f t="shared" si="1"/>
        <v>1_0</v>
      </c>
      <c r="D13" s="16" t="str">
        <f t="shared" si="2"/>
        <v>-2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377</v>
      </c>
      <c r="C14" s="16" t="str">
        <f t="shared" si="1"/>
        <v>1_0</v>
      </c>
      <c r="D14" s="16" t="str">
        <f t="shared" si="2"/>
        <v>-2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378</v>
      </c>
      <c r="C15" s="16" t="str">
        <f t="shared" si="1"/>
        <v>1_0</v>
      </c>
      <c r="D15" s="16" t="str">
        <f t="shared" si="2"/>
        <v>3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379</v>
      </c>
      <c r="C16" s="16" t="str">
        <f t="shared" si="1"/>
        <v>1_0</v>
      </c>
      <c r="D16" s="16" t="str">
        <f t="shared" si="2"/>
        <v>3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380</v>
      </c>
      <c r="C17" s="16" t="str">
        <f t="shared" si="1"/>
        <v>0_81</v>
      </c>
      <c r="D17" s="16" t="str">
        <f t="shared" si="2"/>
        <v>3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381</v>
      </c>
      <c r="C18" s="16" t="str">
        <f t="shared" si="1"/>
        <v>0_81</v>
      </c>
      <c r="D18" s="16" t="str">
        <f t="shared" si="2"/>
        <v>-3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382</v>
      </c>
      <c r="C19" s="16" t="str">
        <f t="shared" si="1"/>
        <v>0_81</v>
      </c>
      <c r="D19" s="16" t="str">
        <f t="shared" si="2"/>
        <v>-7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383</v>
      </c>
      <c r="C20" s="16" t="str">
        <f t="shared" si="1"/>
        <v>0_81</v>
      </c>
      <c r="D20" s="16" t="str">
        <f t="shared" si="2"/>
        <v>-7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384</v>
      </c>
      <c r="C21" s="16" t="str">
        <f t="shared" si="1"/>
        <v>0_81</v>
      </c>
      <c r="D21" s="16" t="str">
        <f t="shared" si="2"/>
        <v>-7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385</v>
      </c>
      <c r="C22" s="16" t="str">
        <f t="shared" si="1"/>
        <v>0_81</v>
      </c>
      <c r="D22" s="16" t="str">
        <f t="shared" si="2"/>
        <v>-4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386</v>
      </c>
      <c r="C23" s="16" t="str">
        <f t="shared" si="1"/>
        <v>0_81</v>
      </c>
      <c r="D23" s="16" t="str">
        <f t="shared" si="2"/>
        <v>-4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387</v>
      </c>
      <c r="C24" s="16" t="str">
        <f t="shared" si="1"/>
        <v>0_81</v>
      </c>
      <c r="D24" s="16" t="str">
        <f t="shared" si="2"/>
        <v>-4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388</v>
      </c>
      <c r="C25" s="16" t="str">
        <f t="shared" si="1"/>
        <v>0_81</v>
      </c>
      <c r="D25" s="16" t="str">
        <f t="shared" si="2"/>
        <v>-10</v>
      </c>
      <c r="E25" s="16" t="str">
        <f t="shared" si="3"/>
        <v>OFF</v>
      </c>
      <c r="F25" s="16"/>
      <c r="G25" s="16"/>
      <c r="H25" s="19"/>
    </row>
    <row r="26" spans="1:8" x14ac:dyDescent="0.45">
      <c r="A26" s="18">
        <v>18</v>
      </c>
      <c r="B26" s="17" t="s">
        <v>389</v>
      </c>
      <c r="C26" s="16" t="str">
        <f t="shared" si="1"/>
        <v>0_81</v>
      </c>
      <c r="D26" s="16" t="str">
        <f t="shared" si="2"/>
        <v>6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390</v>
      </c>
      <c r="C27" s="16" t="str">
        <f t="shared" si="1"/>
        <v>0_81</v>
      </c>
      <c r="D27" s="16" t="str">
        <f t="shared" si="2"/>
        <v>-1</v>
      </c>
      <c r="E27" s="16" t="str">
        <f t="shared" si="3"/>
        <v>OFF</v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82FFFD-040C-4D70-968E-32D076B6EB82}">
          <x14:formula1>
            <xm:f>Dane!$C$2:$C$3</xm:f>
          </x14:formula1>
          <xm:sqref>E4:H4</xm:sqref>
        </x14:dataValidation>
        <x14:dataValidation type="list" allowBlank="1" showInputMessage="1" showErrorMessage="1" xr:uid="{7F5146D1-7CA0-4B85-9F7A-9150FE48A0C8}">
          <x14:formula1>
            <xm:f>Dane!$A$11:$A$25</xm:f>
          </x14:formula1>
          <xm:sqref>D4</xm:sqref>
        </x14:dataValidation>
        <x14:dataValidation type="list" allowBlank="1" showInputMessage="1" showErrorMessage="1" xr:uid="{0BD640EC-A053-48D6-97D6-0ECE00AF33A1}">
          <x14:formula1>
            <xm:f>Dane!$A$6:$A$8</xm:f>
          </x14:formula1>
          <xm:sqref>C4</xm:sqref>
        </x14:dataValidation>
        <x14:dataValidation type="list" allowBlank="1" showInputMessage="1" showErrorMessage="1" xr:uid="{E2667E33-5E3D-444C-951D-46A80964AEC0}">
          <x14:formula1>
            <xm:f>Dane!$A$2:$A$3</xm:f>
          </x14:formula1>
          <xm:sqref>A4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82AED-BC61-43F9-9C81-F0300ECB930E}">
  <sheetPr codeName="Arkusz24"/>
  <dimension ref="A1:X28"/>
  <sheetViews>
    <sheetView workbookViewId="0">
      <selection activeCell="H4" sqref="H4"/>
    </sheetView>
  </sheetViews>
  <sheetFormatPr defaultRowHeight="14.25" x14ac:dyDescent="0.45"/>
  <cols>
    <col min="1" max="1" width="7.265625" style="1" customWidth="1"/>
    <col min="2" max="2" width="58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20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22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357684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391</v>
      </c>
      <c r="C9" s="16" t="str">
        <f>IF(B9="","",_xlfn.TEXTAFTER(_xlfn.TEXTBEFORE(B9,"_Exp"),"Fokus_"))</f>
        <v>0_97</v>
      </c>
      <c r="D9" s="16" t="str">
        <f>IF(B9="","",SUBSTITUTE(LEFT(_xlfn.TEXTAFTER(B9,"_Exp_"),FIND(".",_xlfn.TEXTAFTER(B9,"_Exp_"))-1),"_CUT",""))</f>
        <v>-12</v>
      </c>
      <c r="E9" s="16" t="str">
        <f t="shared" ref="E9:E21" si="0">IF(B9="","",IF(ISERROR(FIND("LampaON",B9)),"OFF","ON"))</f>
        <v>OFF</v>
      </c>
      <c r="F9" s="16"/>
      <c r="G9" s="16"/>
      <c r="H9" s="19"/>
    </row>
    <row r="10" spans="1:24" x14ac:dyDescent="0.45">
      <c r="A10" s="18">
        <v>2</v>
      </c>
      <c r="B10" s="17" t="s">
        <v>392</v>
      </c>
      <c r="C10" s="16" t="str">
        <f t="shared" ref="C10:C28" si="1">IF(B10="","",_xlfn.TEXTAFTER(_xlfn.TEXTBEFORE(B10,"_Exp"),"Fokus_"))</f>
        <v>0_97</v>
      </c>
      <c r="D10" s="16" t="str">
        <f t="shared" ref="D10:D28" si="2">IF(B10="","",SUBSTITUTE(LEFT(_xlfn.TEXTAFTER(B10,"_Exp_"),FIND(".",_xlfn.TEXTAFTER(B10,"_Exp_"))-1),"_CUT",""))</f>
        <v>-7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393</v>
      </c>
      <c r="C11" s="16" t="str">
        <f t="shared" si="1"/>
        <v>0_97</v>
      </c>
      <c r="D11" s="16" t="str">
        <f t="shared" si="2"/>
        <v>-7</v>
      </c>
      <c r="E11" s="16" t="str">
        <f t="shared" si="0"/>
        <v>ON</v>
      </c>
      <c r="F11" s="16"/>
      <c r="G11" s="16"/>
      <c r="H11" s="19"/>
    </row>
    <row r="12" spans="1:24" x14ac:dyDescent="0.45">
      <c r="A12" s="18">
        <v>4</v>
      </c>
      <c r="B12" s="17" t="s">
        <v>394</v>
      </c>
      <c r="C12" s="16" t="str">
        <f t="shared" si="1"/>
        <v>0_97</v>
      </c>
      <c r="D12" s="16" t="str">
        <f t="shared" si="2"/>
        <v>-1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395</v>
      </c>
      <c r="C13" s="16" t="str">
        <f t="shared" si="1"/>
        <v>0_97</v>
      </c>
      <c r="D13" s="16" t="str">
        <f t="shared" si="2"/>
        <v>-1</v>
      </c>
      <c r="E13" s="16" t="str">
        <f t="shared" si="0"/>
        <v>OFF</v>
      </c>
      <c r="F13" s="16"/>
      <c r="G13" s="16"/>
      <c r="H13" s="19"/>
    </row>
    <row r="14" spans="1:24" x14ac:dyDescent="0.45">
      <c r="A14" s="18">
        <v>6</v>
      </c>
      <c r="B14" s="17" t="s">
        <v>396</v>
      </c>
      <c r="C14" s="16" t="str">
        <f t="shared" si="1"/>
        <v>0_97</v>
      </c>
      <c r="D14" s="16" t="str">
        <f t="shared" si="2"/>
        <v>3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397</v>
      </c>
      <c r="C15" s="16" t="str">
        <f t="shared" si="1"/>
        <v>0_97</v>
      </c>
      <c r="D15" s="16" t="str">
        <f t="shared" si="2"/>
        <v>3</v>
      </c>
      <c r="E15" s="16" t="str">
        <f t="shared" si="0"/>
        <v>ON</v>
      </c>
      <c r="F15" s="16"/>
      <c r="G15" s="16"/>
      <c r="H15" s="19"/>
    </row>
    <row r="16" spans="1:24" x14ac:dyDescent="0.45">
      <c r="A16" s="18">
        <v>8</v>
      </c>
      <c r="B16" s="17" t="s">
        <v>398</v>
      </c>
      <c r="C16" s="16" t="str">
        <f t="shared" si="1"/>
        <v>0_97</v>
      </c>
      <c r="D16" s="16" t="str">
        <f t="shared" si="2"/>
        <v>7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399</v>
      </c>
      <c r="C17" s="16" t="str">
        <f t="shared" si="1"/>
        <v>0_97</v>
      </c>
      <c r="D17" s="16" t="str">
        <f t="shared" si="2"/>
        <v>7</v>
      </c>
      <c r="E17" s="16" t="str">
        <f t="shared" si="0"/>
        <v>OFF</v>
      </c>
      <c r="F17" s="16"/>
      <c r="G17" s="16"/>
      <c r="H17" s="19"/>
    </row>
    <row r="18" spans="1:8" x14ac:dyDescent="0.45">
      <c r="A18" s="18">
        <v>10</v>
      </c>
      <c r="B18" s="17" t="s">
        <v>400</v>
      </c>
      <c r="C18" s="16" t="str">
        <f t="shared" si="1"/>
        <v>0_72</v>
      </c>
      <c r="D18" s="16" t="str">
        <f t="shared" si="2"/>
        <v>7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401</v>
      </c>
      <c r="C19" s="16" t="str">
        <f t="shared" si="1"/>
        <v>0_72</v>
      </c>
      <c r="D19" s="16" t="str">
        <f t="shared" si="2"/>
        <v>-5</v>
      </c>
      <c r="E19" s="16" t="str">
        <f t="shared" si="0"/>
        <v>ON</v>
      </c>
      <c r="F19" s="16"/>
      <c r="G19" s="16"/>
      <c r="H19" s="19"/>
    </row>
    <row r="20" spans="1:8" x14ac:dyDescent="0.45">
      <c r="A20" s="18">
        <v>12</v>
      </c>
      <c r="B20" s="17" t="s">
        <v>402</v>
      </c>
      <c r="C20" s="16" t="str">
        <f t="shared" si="1"/>
        <v>0_72</v>
      </c>
      <c r="D20" s="16" t="str">
        <f t="shared" si="2"/>
        <v>-5</v>
      </c>
      <c r="E20" s="16" t="str">
        <f t="shared" si="0"/>
        <v>OFF</v>
      </c>
      <c r="F20" s="16"/>
      <c r="G20" s="16"/>
      <c r="H20" s="19"/>
    </row>
    <row r="21" spans="1:8" x14ac:dyDescent="0.45">
      <c r="A21" s="18">
        <v>13</v>
      </c>
      <c r="B21" s="17" t="s">
        <v>403</v>
      </c>
      <c r="C21" s="16" t="str">
        <f t="shared" si="1"/>
        <v>0_72</v>
      </c>
      <c r="D21" s="16" t="str">
        <f t="shared" si="2"/>
        <v>-5</v>
      </c>
      <c r="E21" s="16" t="str">
        <f t="shared" si="0"/>
        <v>ON</v>
      </c>
      <c r="F21" s="16"/>
      <c r="G21" s="16"/>
      <c r="H21" s="19"/>
    </row>
    <row r="22" spans="1:8" x14ac:dyDescent="0.45">
      <c r="A22" s="18">
        <v>14</v>
      </c>
      <c r="B22" s="17" t="s">
        <v>404</v>
      </c>
      <c r="C22" s="16" t="str">
        <f t="shared" si="1"/>
        <v>0_83</v>
      </c>
      <c r="D22" s="16" t="str">
        <f t="shared" si="2"/>
        <v>-5</v>
      </c>
      <c r="E22" s="16" t="str">
        <f>IF(B22="","",IF(ISERROR(FIND("LampaON",B22)),"OFF","ON"))</f>
        <v>ON</v>
      </c>
      <c r="F22" s="16"/>
      <c r="G22" s="16"/>
      <c r="H22" s="19"/>
    </row>
    <row r="23" spans="1:8" x14ac:dyDescent="0.45">
      <c r="A23" s="18">
        <v>15</v>
      </c>
      <c r="B23" s="17" t="s">
        <v>405</v>
      </c>
      <c r="C23" s="16" t="str">
        <f t="shared" si="1"/>
        <v>0_83</v>
      </c>
      <c r="D23" s="16" t="str">
        <f t="shared" si="2"/>
        <v>-5</v>
      </c>
      <c r="E23" s="16" t="str">
        <f t="shared" ref="E23:E28" si="3">IF(B23="","",IF(ISERROR(FIND("LampaON",B23)),"OFF","ON"))</f>
        <v>OFF</v>
      </c>
      <c r="F23" s="16"/>
      <c r="G23" s="16"/>
      <c r="H23" s="19"/>
    </row>
    <row r="24" spans="1:8" x14ac:dyDescent="0.45">
      <c r="A24" s="18">
        <v>16</v>
      </c>
      <c r="B24" s="17" t="s">
        <v>406</v>
      </c>
      <c r="C24" s="16" t="str">
        <f t="shared" si="1"/>
        <v>0_83</v>
      </c>
      <c r="D24" s="16" t="str">
        <f t="shared" si="2"/>
        <v>-9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407</v>
      </c>
      <c r="C25" s="16" t="str">
        <f t="shared" si="1"/>
        <v>0_96</v>
      </c>
      <c r="D25" s="16" t="str">
        <f t="shared" si="2"/>
        <v>-9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408</v>
      </c>
      <c r="C26" s="16" t="str">
        <f t="shared" si="1"/>
        <v>0_96</v>
      </c>
      <c r="D26" s="16" t="str">
        <f t="shared" si="2"/>
        <v>-7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409</v>
      </c>
      <c r="C27" s="16" t="str">
        <f t="shared" si="1"/>
        <v>0_96</v>
      </c>
      <c r="D27" s="16" t="str">
        <f t="shared" si="2"/>
        <v>-7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BEB2942-5BDA-424C-8756-DDCA928CA8BE}">
          <x14:formula1>
            <xm:f>Dane!$C$2:$C$3</xm:f>
          </x14:formula1>
          <xm:sqref>E4:H4</xm:sqref>
        </x14:dataValidation>
        <x14:dataValidation type="list" allowBlank="1" showInputMessage="1" showErrorMessage="1" xr:uid="{75B42415-52BC-4AD5-963F-B8008D6698CC}">
          <x14:formula1>
            <xm:f>Dane!$A$11:$A$25</xm:f>
          </x14:formula1>
          <xm:sqref>D4</xm:sqref>
        </x14:dataValidation>
        <x14:dataValidation type="list" allowBlank="1" showInputMessage="1" showErrorMessage="1" xr:uid="{765E7CDA-BCFA-453E-927D-21039479DC8D}">
          <x14:formula1>
            <xm:f>Dane!$A$6:$A$8</xm:f>
          </x14:formula1>
          <xm:sqref>C4</xm:sqref>
        </x14:dataValidation>
        <x14:dataValidation type="list" allowBlank="1" showInputMessage="1" showErrorMessage="1" xr:uid="{E60B2B00-F345-45B8-BEC3-B13FAF0D726D}">
          <x14:formula1>
            <xm:f>Dane!$A$2:$A$3</xm:f>
          </x14:formula1>
          <xm:sqref>A4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08FF9-90CF-48F5-91F0-38FFD990DB8B}">
  <sheetPr codeName="Arkusz25"/>
  <dimension ref="A1:X28"/>
  <sheetViews>
    <sheetView workbookViewId="0">
      <selection activeCell="E28" sqref="E28"/>
    </sheetView>
  </sheetViews>
  <sheetFormatPr defaultRowHeight="14.25" x14ac:dyDescent="0.45"/>
  <cols>
    <col min="1" max="1" width="7.265625" style="1" customWidth="1"/>
    <col min="2" max="2" width="57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21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20</v>
      </c>
      <c r="B4" s="14">
        <v>22</v>
      </c>
      <c r="C4" s="14" t="s">
        <v>37</v>
      </c>
      <c r="D4" s="14" t="s">
        <v>34</v>
      </c>
      <c r="E4" s="14" t="s">
        <v>23</v>
      </c>
      <c r="F4" s="14" t="s">
        <v>23</v>
      </c>
      <c r="G4" s="14" t="s">
        <v>23</v>
      </c>
      <c r="H4" s="14" t="s">
        <v>23</v>
      </c>
      <c r="I4" s="15">
        <v>357866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410</v>
      </c>
      <c r="C9" s="16" t="str">
        <f>IF(B9="","",_xlfn.TEXTAFTER(_xlfn.TEXTBEFORE(B9,"_Exp"),"Fokus_"))</f>
        <v>0_98</v>
      </c>
      <c r="D9" s="16" t="str">
        <f>IF(B9="","",SUBSTITUTE(LEFT(_xlfn.TEXTAFTER(B9,"_Exp_"),FIND(".",_xlfn.TEXTAFTER(B9,"_Exp_"))-1),"_CUT",""))</f>
        <v>-7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411</v>
      </c>
      <c r="C10" s="16" t="str">
        <f t="shared" ref="C10:C28" si="1">IF(B10="","",_xlfn.TEXTAFTER(_xlfn.TEXTBEFORE(B10,"_Exp"),"Fokus_"))</f>
        <v>0_98</v>
      </c>
      <c r="D10" s="16" t="str">
        <f t="shared" ref="D10:D28" si="2">IF(B10="","",SUBSTITUTE(LEFT(_xlfn.TEXTAFTER(B10,"_Exp_"),FIND(".",_xlfn.TEXTAFTER(B10,"_Exp_"))-1),"_CUT",""))</f>
        <v>-7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412</v>
      </c>
      <c r="C11" s="16" t="str">
        <f t="shared" si="1"/>
        <v>0_98</v>
      </c>
      <c r="D11" s="16" t="str">
        <f t="shared" si="2"/>
        <v>-3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413</v>
      </c>
      <c r="C12" s="16" t="str">
        <f t="shared" si="1"/>
        <v>0_98</v>
      </c>
      <c r="D12" s="16" t="str">
        <f t="shared" si="2"/>
        <v>-3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414</v>
      </c>
      <c r="C13" s="16" t="str">
        <f t="shared" si="1"/>
        <v>0_98</v>
      </c>
      <c r="D13" s="16" t="str">
        <f t="shared" si="2"/>
        <v>0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415</v>
      </c>
      <c r="C14" s="16" t="str">
        <f t="shared" si="1"/>
        <v>0_98</v>
      </c>
      <c r="D14" s="16" t="str">
        <f t="shared" si="2"/>
        <v>0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416</v>
      </c>
      <c r="C15" s="16" t="str">
        <f t="shared" si="1"/>
        <v>0_98</v>
      </c>
      <c r="D15" s="16" t="str">
        <f t="shared" si="2"/>
        <v>5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417</v>
      </c>
      <c r="C16" s="16" t="str">
        <f t="shared" si="1"/>
        <v>0_98</v>
      </c>
      <c r="D16" s="16" t="str">
        <f t="shared" si="2"/>
        <v>5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418</v>
      </c>
      <c r="C17" s="16" t="str">
        <f t="shared" si="1"/>
        <v>0_98</v>
      </c>
      <c r="D17" s="16" t="str">
        <f t="shared" si="2"/>
        <v>-7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419</v>
      </c>
      <c r="C18" s="16" t="str">
        <f t="shared" si="1"/>
        <v>0_94</v>
      </c>
      <c r="D18" s="16" t="str">
        <f t="shared" si="2"/>
        <v>-7</v>
      </c>
      <c r="E18" s="16" t="str">
        <f t="shared" si="0"/>
        <v>ON</v>
      </c>
      <c r="F18" s="16"/>
      <c r="G18" s="16"/>
      <c r="H18" s="19"/>
    </row>
    <row r="19" spans="1:8" x14ac:dyDescent="0.45">
      <c r="A19" s="18">
        <v>11</v>
      </c>
      <c r="B19" s="17" t="s">
        <v>420</v>
      </c>
      <c r="C19" s="16" t="str">
        <f t="shared" si="1"/>
        <v>0_94</v>
      </c>
      <c r="D19" s="16" t="str">
        <f t="shared" si="2"/>
        <v>-7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421</v>
      </c>
      <c r="C20" s="16" t="str">
        <f t="shared" si="1"/>
        <v>0_94</v>
      </c>
      <c r="D20" s="16" t="str">
        <f t="shared" si="2"/>
        <v>-7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422</v>
      </c>
      <c r="C21" s="16" t="str">
        <f t="shared" si="1"/>
        <v>0_94</v>
      </c>
      <c r="D21" s="16" t="str">
        <f t="shared" si="2"/>
        <v>-7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423</v>
      </c>
      <c r="C22" s="16" t="str">
        <f t="shared" si="1"/>
        <v>0_94</v>
      </c>
      <c r="D22" s="16" t="str">
        <f t="shared" si="2"/>
        <v>-2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424</v>
      </c>
      <c r="C23" s="16" t="str">
        <f t="shared" si="1"/>
        <v>1_0</v>
      </c>
      <c r="D23" s="16" t="str">
        <f t="shared" si="2"/>
        <v>-2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425</v>
      </c>
      <c r="C24" s="16" t="str">
        <f t="shared" si="1"/>
        <v>1_0</v>
      </c>
      <c r="D24" s="16" t="str">
        <f t="shared" si="2"/>
        <v>-2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426</v>
      </c>
      <c r="C25" s="16" t="str">
        <f t="shared" si="1"/>
        <v>0_93</v>
      </c>
      <c r="D25" s="16" t="str">
        <f t="shared" si="2"/>
        <v>2</v>
      </c>
      <c r="E25" s="16" t="str">
        <f t="shared" si="3"/>
        <v>ON</v>
      </c>
      <c r="F25" s="16"/>
      <c r="G25" s="16"/>
      <c r="H25" s="19"/>
    </row>
    <row r="26" spans="1:8" x14ac:dyDescent="0.45">
      <c r="A26" s="18">
        <v>18</v>
      </c>
      <c r="B26" s="17" t="s">
        <v>427</v>
      </c>
      <c r="C26" s="16" t="str">
        <f t="shared" si="1"/>
        <v>0_93</v>
      </c>
      <c r="D26" s="16" t="str">
        <f t="shared" si="2"/>
        <v>2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428</v>
      </c>
      <c r="C27" s="16" t="str">
        <f t="shared" si="1"/>
        <v>0_93</v>
      </c>
      <c r="D27" s="16" t="str">
        <f t="shared" si="2"/>
        <v>-3</v>
      </c>
      <c r="E27" s="16" t="str">
        <f t="shared" si="3"/>
        <v>OFF</v>
      </c>
      <c r="F27" s="16"/>
      <c r="G27" s="16"/>
      <c r="H27" s="19"/>
    </row>
    <row r="28" spans="1:8" ht="14.65" thickBot="1" x14ac:dyDescent="0.5">
      <c r="A28" s="20">
        <v>20</v>
      </c>
      <c r="B28" s="21" t="s">
        <v>429</v>
      </c>
      <c r="C28" s="22" t="str">
        <f t="shared" si="1"/>
        <v>0_93</v>
      </c>
      <c r="D28" s="16" t="str">
        <f t="shared" si="2"/>
        <v>-3</v>
      </c>
      <c r="E28" s="22" t="str">
        <f t="shared" si="3"/>
        <v>ON</v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5BDD98A-7A6A-489F-A1E4-F1BAAC958C1A}">
          <x14:formula1>
            <xm:f>Dane!$C$2:$C$3</xm:f>
          </x14:formula1>
          <xm:sqref>E4:H4</xm:sqref>
        </x14:dataValidation>
        <x14:dataValidation type="list" allowBlank="1" showInputMessage="1" showErrorMessage="1" xr:uid="{3D7B00B4-E5D2-44ED-9B7B-66E6235EA8D4}">
          <x14:formula1>
            <xm:f>Dane!$A$11:$A$25</xm:f>
          </x14:formula1>
          <xm:sqref>D4</xm:sqref>
        </x14:dataValidation>
        <x14:dataValidation type="list" allowBlank="1" showInputMessage="1" showErrorMessage="1" xr:uid="{8B0AC191-6573-4432-B693-A0D2AC45938A}">
          <x14:formula1>
            <xm:f>Dane!$A$6:$A$8</xm:f>
          </x14:formula1>
          <xm:sqref>C4</xm:sqref>
        </x14:dataValidation>
        <x14:dataValidation type="list" allowBlank="1" showInputMessage="1" showErrorMessage="1" xr:uid="{6748AB7A-E07A-4785-8F1F-3B0C45DF9AA1}">
          <x14:formula1>
            <xm:f>Dane!$A$2:$A$3</xm:f>
          </x14:formula1>
          <xm:sqref>A4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526A8-5441-4E71-99D9-CF82CC2A4B71}">
  <sheetPr codeName="Arkusz26"/>
  <dimension ref="A1:X28"/>
  <sheetViews>
    <sheetView tabSelected="1" workbookViewId="0">
      <selection activeCell="E32" sqref="E32"/>
    </sheetView>
  </sheetViews>
  <sheetFormatPr defaultRowHeight="14.25" x14ac:dyDescent="0.45"/>
  <cols>
    <col min="1" max="1" width="7.265625" style="1" customWidth="1"/>
    <col min="2" max="2" width="58.86328125" style="1" bestFit="1" customWidth="1"/>
    <col min="3" max="3" width="13.1328125" style="1" bestFit="1" customWidth="1"/>
    <col min="4" max="4" width="21.796875" style="1" bestFit="1" customWidth="1"/>
    <col min="5" max="5" width="27.1328125" style="1" bestFit="1" customWidth="1"/>
    <col min="6" max="6" width="8.06640625" style="1" bestFit="1" customWidth="1"/>
    <col min="7" max="7" width="13.6640625" style="1" bestFit="1" customWidth="1"/>
    <col min="8" max="8" width="20.06640625" style="1" bestFit="1" customWidth="1"/>
    <col min="9" max="9" width="13.796875" style="1" bestFit="1" customWidth="1"/>
    <col min="10" max="16384" width="9.06640625" style="1"/>
  </cols>
  <sheetData>
    <row r="1" spans="1:24" ht="21.4" thickBot="1" x14ac:dyDescent="0.5">
      <c r="A1" s="30">
        <v>22</v>
      </c>
      <c r="B1" s="30"/>
      <c r="C1" s="30"/>
      <c r="D1" s="30"/>
      <c r="E1" s="30"/>
      <c r="F1" s="30"/>
      <c r="G1" s="30"/>
      <c r="H1" s="30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.75" x14ac:dyDescent="0.45">
      <c r="A2" s="8" t="s">
        <v>10</v>
      </c>
      <c r="B2" s="9" t="s">
        <v>11</v>
      </c>
      <c r="C2" s="9" t="s">
        <v>12</v>
      </c>
      <c r="D2" s="9" t="s">
        <v>13</v>
      </c>
      <c r="E2" s="9" t="s">
        <v>28</v>
      </c>
      <c r="F2" s="9" t="s">
        <v>14</v>
      </c>
      <c r="G2" s="9" t="s">
        <v>15</v>
      </c>
      <c r="H2" s="9" t="s">
        <v>16</v>
      </c>
      <c r="I2" s="10" t="s">
        <v>66</v>
      </c>
    </row>
    <row r="3" spans="1:24" ht="15.75" x14ac:dyDescent="0.45">
      <c r="A3" s="11" t="s">
        <v>2</v>
      </c>
      <c r="B3" s="7" t="s">
        <v>0</v>
      </c>
      <c r="C3" s="7" t="s">
        <v>3</v>
      </c>
      <c r="D3" s="7" t="s">
        <v>4</v>
      </c>
      <c r="E3" s="7" t="s">
        <v>27</v>
      </c>
      <c r="F3" s="7" t="s">
        <v>5</v>
      </c>
      <c r="G3" s="7" t="s">
        <v>24</v>
      </c>
      <c r="H3" s="7" t="s">
        <v>6</v>
      </c>
      <c r="I3" s="12"/>
    </row>
    <row r="4" spans="1:24" ht="16.149999999999999" thickBot="1" x14ac:dyDescent="0.5">
      <c r="A4" s="13" t="s">
        <v>21</v>
      </c>
      <c r="B4" s="14">
        <v>21</v>
      </c>
      <c r="C4" s="14" t="s">
        <v>37</v>
      </c>
      <c r="D4" s="14" t="s">
        <v>34</v>
      </c>
      <c r="E4" s="14" t="s">
        <v>23</v>
      </c>
      <c r="F4" s="14" t="s">
        <v>22</v>
      </c>
      <c r="G4" s="14" t="s">
        <v>23</v>
      </c>
      <c r="H4" s="14" t="s">
        <v>22</v>
      </c>
      <c r="I4" s="15">
        <v>357126</v>
      </c>
    </row>
    <row r="5" spans="1:24" ht="14.65" thickBot="1" x14ac:dyDescent="0.5"/>
    <row r="6" spans="1:24" ht="16.149999999999999" thickBot="1" x14ac:dyDescent="0.5">
      <c r="A6" s="31" t="s">
        <v>40</v>
      </c>
      <c r="B6" s="32"/>
      <c r="C6" s="32"/>
      <c r="D6" s="32"/>
      <c r="E6" s="32"/>
      <c r="F6" s="32"/>
      <c r="G6" s="32"/>
      <c r="H6" s="33"/>
    </row>
    <row r="7" spans="1:24" ht="15.75" x14ac:dyDescent="0.45">
      <c r="A7" s="8" t="s">
        <v>1</v>
      </c>
      <c r="B7" s="9" t="s">
        <v>41</v>
      </c>
      <c r="C7" s="9" t="s">
        <v>17</v>
      </c>
      <c r="D7" s="9" t="s">
        <v>18</v>
      </c>
      <c r="E7" s="9" t="s">
        <v>19</v>
      </c>
      <c r="F7" s="9"/>
      <c r="G7" s="9"/>
      <c r="H7" s="10"/>
    </row>
    <row r="8" spans="1:24" ht="15.75" x14ac:dyDescent="0.45">
      <c r="A8" s="11" t="s">
        <v>1</v>
      </c>
      <c r="B8" s="7" t="s">
        <v>42</v>
      </c>
      <c r="C8" s="7" t="s">
        <v>7</v>
      </c>
      <c r="D8" s="7" t="s">
        <v>8</v>
      </c>
      <c r="E8" s="7" t="s">
        <v>9</v>
      </c>
      <c r="F8" s="7"/>
      <c r="G8" s="7"/>
      <c r="H8" s="12"/>
    </row>
    <row r="9" spans="1:24" x14ac:dyDescent="0.45">
      <c r="A9" s="18">
        <v>1</v>
      </c>
      <c r="B9" s="17" t="s">
        <v>430</v>
      </c>
      <c r="C9" s="16" t="str">
        <f>IF(B9="","",_xlfn.TEXTAFTER(_xlfn.TEXTBEFORE(B9,"_Exp"),"Fokus_"))</f>
        <v>0_65</v>
      </c>
      <c r="D9" s="16" t="str">
        <f>IF(B9="","",SUBSTITUTE(LEFT(_xlfn.TEXTAFTER(B9,"_Exp_"),FIND(".",_xlfn.TEXTAFTER(B9,"_Exp_"))-1),"_CUT",""))</f>
        <v>-3</v>
      </c>
      <c r="E9" s="16" t="str">
        <f t="shared" ref="E9:E21" si="0">IF(B9="","",IF(ISERROR(FIND("LampaON",B9)),"OFF","ON"))</f>
        <v>ON</v>
      </c>
      <c r="F9" s="16"/>
      <c r="G9" s="16"/>
      <c r="H9" s="19"/>
    </row>
    <row r="10" spans="1:24" x14ac:dyDescent="0.45">
      <c r="A10" s="18">
        <v>2</v>
      </c>
      <c r="B10" s="17" t="s">
        <v>431</v>
      </c>
      <c r="C10" s="16" t="str">
        <f t="shared" ref="C10:C28" si="1">IF(B10="","",_xlfn.TEXTAFTER(_xlfn.TEXTBEFORE(B10,"_Exp"),"Fokus_"))</f>
        <v>0_65</v>
      </c>
      <c r="D10" s="16" t="str">
        <f t="shared" ref="D10:D28" si="2">IF(B10="","",SUBSTITUTE(LEFT(_xlfn.TEXTAFTER(B10,"_Exp_"),FIND(".",_xlfn.TEXTAFTER(B10,"_Exp_"))-1),"_CUT",""))</f>
        <v>-3</v>
      </c>
      <c r="E10" s="16" t="str">
        <f t="shared" si="0"/>
        <v>OFF</v>
      </c>
      <c r="F10" s="16"/>
      <c r="G10" s="16"/>
      <c r="H10" s="19"/>
    </row>
    <row r="11" spans="1:24" x14ac:dyDescent="0.45">
      <c r="A11" s="18">
        <v>3</v>
      </c>
      <c r="B11" s="17" t="s">
        <v>432</v>
      </c>
      <c r="C11" s="16" t="str">
        <f t="shared" si="1"/>
        <v>0_65</v>
      </c>
      <c r="D11" s="16" t="str">
        <f t="shared" si="2"/>
        <v>-8</v>
      </c>
      <c r="E11" s="16" t="str">
        <f t="shared" si="0"/>
        <v>OFF</v>
      </c>
      <c r="F11" s="16"/>
      <c r="G11" s="16"/>
      <c r="H11" s="19"/>
    </row>
    <row r="12" spans="1:24" x14ac:dyDescent="0.45">
      <c r="A12" s="18">
        <v>4</v>
      </c>
      <c r="B12" s="17" t="s">
        <v>433</v>
      </c>
      <c r="C12" s="16" t="str">
        <f t="shared" si="1"/>
        <v>0_65</v>
      </c>
      <c r="D12" s="16" t="str">
        <f t="shared" si="2"/>
        <v>-8</v>
      </c>
      <c r="E12" s="16" t="str">
        <f t="shared" si="0"/>
        <v>ON</v>
      </c>
      <c r="F12" s="16"/>
      <c r="G12" s="16"/>
      <c r="H12" s="19"/>
    </row>
    <row r="13" spans="1:24" x14ac:dyDescent="0.45">
      <c r="A13" s="18">
        <v>5</v>
      </c>
      <c r="B13" s="17" t="s">
        <v>434</v>
      </c>
      <c r="C13" s="16" t="str">
        <f t="shared" si="1"/>
        <v>0_65</v>
      </c>
      <c r="D13" s="16" t="str">
        <f t="shared" si="2"/>
        <v>-12</v>
      </c>
      <c r="E13" s="16" t="str">
        <f t="shared" si="0"/>
        <v>ON</v>
      </c>
      <c r="F13" s="16"/>
      <c r="G13" s="16"/>
      <c r="H13" s="19"/>
    </row>
    <row r="14" spans="1:24" x14ac:dyDescent="0.45">
      <c r="A14" s="18">
        <v>6</v>
      </c>
      <c r="B14" s="17" t="s">
        <v>435</v>
      </c>
      <c r="C14" s="16" t="str">
        <f t="shared" si="1"/>
        <v>0_65</v>
      </c>
      <c r="D14" s="16" t="str">
        <f t="shared" si="2"/>
        <v>-12</v>
      </c>
      <c r="E14" s="16" t="str">
        <f t="shared" si="0"/>
        <v>OFF</v>
      </c>
      <c r="F14" s="16"/>
      <c r="G14" s="16"/>
      <c r="H14" s="19"/>
    </row>
    <row r="15" spans="1:24" x14ac:dyDescent="0.45">
      <c r="A15" s="18">
        <v>7</v>
      </c>
      <c r="B15" s="17" t="s">
        <v>436</v>
      </c>
      <c r="C15" s="16" t="str">
        <f t="shared" si="1"/>
        <v>0_65</v>
      </c>
      <c r="D15" s="16" t="str">
        <f t="shared" si="2"/>
        <v>5</v>
      </c>
      <c r="E15" s="16" t="str">
        <f t="shared" si="0"/>
        <v>OFF</v>
      </c>
      <c r="F15" s="16"/>
      <c r="G15" s="16"/>
      <c r="H15" s="19"/>
    </row>
    <row r="16" spans="1:24" x14ac:dyDescent="0.45">
      <c r="A16" s="18">
        <v>8</v>
      </c>
      <c r="B16" s="17" t="s">
        <v>437</v>
      </c>
      <c r="C16" s="16" t="str">
        <f t="shared" si="1"/>
        <v>0_65</v>
      </c>
      <c r="D16" s="16" t="str">
        <f t="shared" si="2"/>
        <v>5</v>
      </c>
      <c r="E16" s="16" t="str">
        <f t="shared" si="0"/>
        <v>ON</v>
      </c>
      <c r="F16" s="16"/>
      <c r="G16" s="16"/>
      <c r="H16" s="19"/>
    </row>
    <row r="17" spans="1:8" x14ac:dyDescent="0.45">
      <c r="A17" s="18">
        <v>9</v>
      </c>
      <c r="B17" s="17" t="s">
        <v>438</v>
      </c>
      <c r="C17" s="16" t="str">
        <f t="shared" si="1"/>
        <v>0_57</v>
      </c>
      <c r="D17" s="16" t="str">
        <f t="shared" si="2"/>
        <v>5</v>
      </c>
      <c r="E17" s="16" t="str">
        <f t="shared" si="0"/>
        <v>ON</v>
      </c>
      <c r="F17" s="16"/>
      <c r="G17" s="16"/>
      <c r="H17" s="19"/>
    </row>
    <row r="18" spans="1:8" x14ac:dyDescent="0.45">
      <c r="A18" s="18">
        <v>10</v>
      </c>
      <c r="B18" s="17" t="s">
        <v>439</v>
      </c>
      <c r="C18" s="16" t="str">
        <f t="shared" si="1"/>
        <v>0_57</v>
      </c>
      <c r="D18" s="16" t="str">
        <f t="shared" si="2"/>
        <v>-7</v>
      </c>
      <c r="E18" s="16" t="str">
        <f t="shared" si="0"/>
        <v>OFF</v>
      </c>
      <c r="F18" s="16"/>
      <c r="G18" s="16"/>
      <c r="H18" s="19"/>
    </row>
    <row r="19" spans="1:8" x14ac:dyDescent="0.45">
      <c r="A19" s="18">
        <v>11</v>
      </c>
      <c r="B19" s="17" t="s">
        <v>440</v>
      </c>
      <c r="C19" s="16" t="str">
        <f t="shared" si="1"/>
        <v>0_57</v>
      </c>
      <c r="D19" s="16" t="str">
        <f t="shared" si="2"/>
        <v>-6</v>
      </c>
      <c r="E19" s="16" t="str">
        <f t="shared" si="0"/>
        <v>OFF</v>
      </c>
      <c r="F19" s="16"/>
      <c r="G19" s="16"/>
      <c r="H19" s="19"/>
    </row>
    <row r="20" spans="1:8" x14ac:dyDescent="0.45">
      <c r="A20" s="18">
        <v>12</v>
      </c>
      <c r="B20" s="17" t="s">
        <v>441</v>
      </c>
      <c r="C20" s="16" t="str">
        <f t="shared" si="1"/>
        <v>0_57</v>
      </c>
      <c r="D20" s="16" t="str">
        <f t="shared" si="2"/>
        <v>-6</v>
      </c>
      <c r="E20" s="16" t="str">
        <f t="shared" si="0"/>
        <v>ON</v>
      </c>
      <c r="F20" s="16"/>
      <c r="G20" s="16"/>
      <c r="H20" s="19"/>
    </row>
    <row r="21" spans="1:8" x14ac:dyDescent="0.45">
      <c r="A21" s="18">
        <v>13</v>
      </c>
      <c r="B21" s="17" t="s">
        <v>442</v>
      </c>
      <c r="C21" s="16" t="str">
        <f t="shared" si="1"/>
        <v>0_59</v>
      </c>
      <c r="D21" s="16" t="str">
        <f t="shared" si="2"/>
        <v>-2</v>
      </c>
      <c r="E21" s="16" t="str">
        <f t="shared" si="0"/>
        <v>OFF</v>
      </c>
      <c r="F21" s="16"/>
      <c r="G21" s="16"/>
      <c r="H21" s="19"/>
    </row>
    <row r="22" spans="1:8" x14ac:dyDescent="0.45">
      <c r="A22" s="18">
        <v>14</v>
      </c>
      <c r="B22" s="17" t="s">
        <v>443</v>
      </c>
      <c r="C22" s="16" t="str">
        <f t="shared" si="1"/>
        <v>0_59</v>
      </c>
      <c r="D22" s="16" t="str">
        <f t="shared" si="2"/>
        <v>-4</v>
      </c>
      <c r="E22" s="16" t="str">
        <f>IF(B22="","",IF(ISERROR(FIND("LampaON",B22)),"OFF","ON"))</f>
        <v>OFF</v>
      </c>
      <c r="F22" s="16"/>
      <c r="G22" s="16"/>
      <c r="H22" s="19"/>
    </row>
    <row r="23" spans="1:8" x14ac:dyDescent="0.45">
      <c r="A23" s="18">
        <v>15</v>
      </c>
      <c r="B23" s="17" t="s">
        <v>444</v>
      </c>
      <c r="C23" s="16" t="str">
        <f t="shared" si="1"/>
        <v>0_59</v>
      </c>
      <c r="D23" s="16" t="str">
        <f t="shared" si="2"/>
        <v>-4</v>
      </c>
      <c r="E23" s="16" t="str">
        <f t="shared" ref="E23:E28" si="3">IF(B23="","",IF(ISERROR(FIND("LampaON",B23)),"OFF","ON"))</f>
        <v>ON</v>
      </c>
      <c r="F23" s="16"/>
      <c r="G23" s="16"/>
      <c r="H23" s="19"/>
    </row>
    <row r="24" spans="1:8" x14ac:dyDescent="0.45">
      <c r="A24" s="18">
        <v>16</v>
      </c>
      <c r="B24" s="17" t="s">
        <v>445</v>
      </c>
      <c r="C24" s="16" t="str">
        <f t="shared" si="1"/>
        <v>0_79</v>
      </c>
      <c r="D24" s="16" t="str">
        <f t="shared" si="2"/>
        <v>-4</v>
      </c>
      <c r="E24" s="16" t="str">
        <f t="shared" si="3"/>
        <v>ON</v>
      </c>
      <c r="F24" s="16"/>
      <c r="G24" s="16"/>
      <c r="H24" s="19"/>
    </row>
    <row r="25" spans="1:8" x14ac:dyDescent="0.45">
      <c r="A25" s="18">
        <v>17</v>
      </c>
      <c r="B25" s="17" t="s">
        <v>446</v>
      </c>
      <c r="C25" s="16" t="str">
        <f t="shared" si="1"/>
        <v>0_79</v>
      </c>
      <c r="D25" s="16" t="str">
        <f t="shared" si="2"/>
        <v>-4</v>
      </c>
      <c r="E25" s="16" t="str">
        <f t="shared" si="3"/>
        <v>OFF</v>
      </c>
      <c r="F25" s="16"/>
      <c r="G25" s="16"/>
      <c r="H25" s="19"/>
    </row>
    <row r="26" spans="1:8" x14ac:dyDescent="0.45">
      <c r="A26" s="18">
        <v>18</v>
      </c>
      <c r="B26" s="17" t="s">
        <v>447</v>
      </c>
      <c r="C26" s="16" t="str">
        <f t="shared" si="1"/>
        <v>0_79</v>
      </c>
      <c r="D26" s="16" t="str">
        <f t="shared" si="2"/>
        <v>-7</v>
      </c>
      <c r="E26" s="16" t="str">
        <f t="shared" si="3"/>
        <v>OFF</v>
      </c>
      <c r="F26" s="16"/>
      <c r="G26" s="16"/>
      <c r="H26" s="19"/>
    </row>
    <row r="27" spans="1:8" x14ac:dyDescent="0.45">
      <c r="A27" s="18">
        <v>19</v>
      </c>
      <c r="B27" s="17" t="s">
        <v>448</v>
      </c>
      <c r="C27" s="16" t="str">
        <f t="shared" si="1"/>
        <v>0_79</v>
      </c>
      <c r="D27" s="16" t="str">
        <f t="shared" si="2"/>
        <v>-7</v>
      </c>
      <c r="E27" s="16" t="str">
        <f t="shared" si="3"/>
        <v>ON</v>
      </c>
      <c r="F27" s="16"/>
      <c r="G27" s="16"/>
      <c r="H27" s="19"/>
    </row>
    <row r="28" spans="1:8" ht="14.65" thickBot="1" x14ac:dyDescent="0.5">
      <c r="A28" s="20">
        <v>20</v>
      </c>
      <c r="B28" s="21"/>
      <c r="C28" s="22" t="str">
        <f t="shared" si="1"/>
        <v/>
      </c>
      <c r="D28" s="16" t="str">
        <f t="shared" si="2"/>
        <v/>
      </c>
      <c r="E28" s="22" t="str">
        <f t="shared" si="3"/>
        <v/>
      </c>
      <c r="F28" s="22"/>
      <c r="G28" s="22"/>
      <c r="H28" s="23"/>
    </row>
  </sheetData>
  <mergeCells count="2">
    <mergeCell ref="A1:H1"/>
    <mergeCell ref="A6:H6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8CAA084-C2DB-41DF-B8B6-B899FB64B2BA}">
          <x14:formula1>
            <xm:f>Dane!$C$2:$C$3</xm:f>
          </x14:formula1>
          <xm:sqref>E4:H4</xm:sqref>
        </x14:dataValidation>
        <x14:dataValidation type="list" allowBlank="1" showInputMessage="1" showErrorMessage="1" xr:uid="{7E5363FE-0E28-4A54-BA6F-993C6BB00AFB}">
          <x14:formula1>
            <xm:f>Dane!$A$11:$A$25</xm:f>
          </x14:formula1>
          <xm:sqref>D4</xm:sqref>
        </x14:dataValidation>
        <x14:dataValidation type="list" allowBlank="1" showInputMessage="1" showErrorMessage="1" xr:uid="{E72D971D-B526-4A84-AFED-86C2C4E48F20}">
          <x14:formula1>
            <xm:f>Dane!$A$6:$A$8</xm:f>
          </x14:formula1>
          <xm:sqref>C4</xm:sqref>
        </x14:dataValidation>
        <x14:dataValidation type="list" allowBlank="1" showInputMessage="1" showErrorMessage="1" xr:uid="{A53CF73D-314B-40AD-A922-80E41838CB37}">
          <x14:formula1>
            <xm:f>Dane!$A$2:$A$3</xm:f>
          </x14:formula1>
          <xm:sqref>A4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23</vt:i4>
      </vt:variant>
    </vt:vector>
  </HeadingPairs>
  <TitlesOfParts>
    <vt:vector size="23" baseType="lpstr">
      <vt:lpstr>Dane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Dominik</dc:creator>
  <cp:lastModifiedBy>Dominik Jojko</cp:lastModifiedBy>
  <cp:lastPrinted>2026-04-07T17:09:00Z</cp:lastPrinted>
  <dcterms:created xsi:type="dcterms:W3CDTF">2015-06-05T18:19:34Z</dcterms:created>
  <dcterms:modified xsi:type="dcterms:W3CDTF">2026-04-07T17:23:20Z</dcterms:modified>
</cp:coreProperties>
</file>